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Users\wangyueyong\Desktop\主数据维护，非excel主数据版\"/>
    </mc:Choice>
  </mc:AlternateContent>
  <xr:revisionPtr revIDLastSave="0" documentId="13_ncr:1_{654E19AC-0D72-413C-A29E-920AEEF70BD0}" xr6:coauthVersionLast="47" xr6:coauthVersionMax="47" xr10:uidLastSave="{00000000-0000-0000-0000-000000000000}"/>
  <bookViews>
    <workbookView xWindow="-120" yWindow="-120" windowWidth="20730" windowHeight="11160" firstSheet="3" activeTab="3" xr2:uid="{00000000-000D-0000-FFFF-FFFF00000000}"/>
  </bookViews>
  <sheets>
    <sheet name="表1（IT界面）" sheetId="1" r:id="rId1"/>
    <sheet name="表2（QC界面）" sheetId="2" r:id="rId2"/>
    <sheet name="表3（采购界面）" sheetId="3" r:id="rId3"/>
    <sheet name="表4（运营界面）" sheetId="4" r:id="rId4"/>
    <sheet name="Sheet4" sheetId="8" r:id="rId5"/>
    <sheet name="Sheet3" sheetId="7" r:id="rId6"/>
    <sheet name="Sheet1" sheetId="5" r:id="rId7"/>
    <sheet name="Sheet2" sheetId="6" r:id="rId8"/>
    <sheet name="Sheet6" sheetId="10" r:id="rId9"/>
    <sheet name="Sheet5" sheetId="9" r:id="rId10"/>
  </sheets>
  <definedNames>
    <definedName name="_xlnm._FilterDatabase" localSheetId="0" hidden="1">'表1（IT界面）'!$A$1:$BM$1</definedName>
    <definedName name="_xlnm._FilterDatabase" localSheetId="3" hidden="1">'表4（运营界面）'!$A$2:$AG$2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2" i="4" l="1"/>
  <c r="AF12" i="4"/>
  <c r="AE12" i="4"/>
  <c r="AD12" i="4"/>
  <c r="AB12" i="4"/>
  <c r="AC12" i="4" s="1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L12" i="4"/>
  <c r="M12" i="4" s="1"/>
  <c r="K12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AG10" i="4"/>
  <c r="AF10" i="4"/>
  <c r="AE10" i="4"/>
  <c r="AD10" i="4"/>
  <c r="AB10" i="4"/>
  <c r="AC10" i="4" s="1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L10" i="4"/>
  <c r="M10" i="4" s="1"/>
  <c r="K10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L9" i="4"/>
  <c r="M9" i="4" s="1"/>
  <c r="K9" i="4"/>
  <c r="AG8" i="4"/>
  <c r="AF8" i="4"/>
  <c r="AE8" i="4"/>
  <c r="AD8" i="4"/>
  <c r="AB8" i="4"/>
  <c r="AC8" i="4" s="1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L8" i="4"/>
  <c r="M8" i="4" s="1"/>
  <c r="K8" i="4"/>
  <c r="AG7" i="4"/>
  <c r="AF7" i="4"/>
  <c r="AE7" i="4"/>
  <c r="AD7" i="4"/>
  <c r="AB7" i="4"/>
  <c r="AC7" i="4" s="1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L7" i="4"/>
  <c r="M7" i="4" s="1"/>
  <c r="K7" i="4"/>
  <c r="D2" i="9" l="1"/>
  <c r="D4" i="9"/>
  <c r="D5" i="9"/>
  <c r="D6" i="9"/>
  <c r="D8" i="9"/>
  <c r="D9" i="9"/>
  <c r="D10" i="9"/>
  <c r="D12" i="9"/>
  <c r="D1" i="9"/>
  <c r="K1" i="9"/>
  <c r="J2" i="9" s="1"/>
  <c r="E1" i="9"/>
  <c r="D3" i="9" s="1"/>
  <c r="J13" i="8"/>
  <c r="I13" i="8" s="1"/>
  <c r="J9" i="8"/>
  <c r="I9" i="8" s="1"/>
  <c r="J2" i="8"/>
  <c r="I3" i="8" s="1"/>
  <c r="B3" i="8"/>
  <c r="B7" i="8"/>
  <c r="B11" i="8"/>
  <c r="D1" i="8"/>
  <c r="B4" i="8" s="1"/>
  <c r="J3" i="9" l="1"/>
  <c r="J25" i="9"/>
  <c r="J21" i="9"/>
  <c r="J17" i="9"/>
  <c r="J13" i="9"/>
  <c r="J9" i="9"/>
  <c r="J5" i="9"/>
  <c r="B10" i="8"/>
  <c r="B6" i="8"/>
  <c r="B2" i="8"/>
  <c r="I15" i="8"/>
  <c r="J1" i="9"/>
  <c r="J24" i="9"/>
  <c r="J20" i="9"/>
  <c r="J16" i="9"/>
  <c r="J12" i="9"/>
  <c r="J8" i="9"/>
  <c r="J4" i="9"/>
  <c r="B1" i="8"/>
  <c r="B9" i="8"/>
  <c r="B5" i="8"/>
  <c r="I14" i="8"/>
  <c r="J27" i="9"/>
  <c r="J23" i="9"/>
  <c r="J19" i="9"/>
  <c r="J15" i="9"/>
  <c r="J11" i="9"/>
  <c r="J7" i="9"/>
  <c r="B12" i="8"/>
  <c r="B8" i="8"/>
  <c r="D11" i="9"/>
  <c r="D7" i="9"/>
  <c r="J26" i="9"/>
  <c r="J22" i="9"/>
  <c r="J18" i="9"/>
  <c r="J14" i="9"/>
  <c r="J10" i="9"/>
  <c r="J6" i="9"/>
  <c r="I4" i="8"/>
  <c r="I2" i="8"/>
  <c r="N7" i="6" l="1"/>
  <c r="P7" i="6" s="1"/>
  <c r="M5" i="6"/>
  <c r="M6" i="6"/>
  <c r="M7" i="6"/>
  <c r="M9" i="6"/>
  <c r="P9" i="6" s="1"/>
  <c r="L6" i="6"/>
  <c r="N6" i="6" s="1"/>
  <c r="L7" i="6"/>
  <c r="L9" i="6"/>
  <c r="N9" i="6" s="1"/>
  <c r="L10" i="6"/>
  <c r="N10" i="6" s="1"/>
  <c r="K5" i="6"/>
  <c r="L5" i="6" s="1"/>
  <c r="N5" i="6" s="1"/>
  <c r="K8" i="6"/>
  <c r="L8" i="6" s="1"/>
  <c r="N8" i="6" s="1"/>
  <c r="K9" i="6"/>
  <c r="K10" i="6"/>
  <c r="M10" i="6" s="1"/>
  <c r="P10" i="6" s="1"/>
  <c r="K11" i="6"/>
  <c r="L11" i="6" s="1"/>
  <c r="N11" i="6" s="1"/>
  <c r="K4" i="6"/>
  <c r="M4" i="6" s="1"/>
  <c r="S6" i="4"/>
  <c r="AG6" i="4"/>
  <c r="AF6" i="4"/>
  <c r="AE6" i="4"/>
  <c r="AD6" i="4"/>
  <c r="AB6" i="4"/>
  <c r="AC6" i="4" s="1"/>
  <c r="AA6" i="4"/>
  <c r="Z6" i="4"/>
  <c r="Y6" i="4"/>
  <c r="X6" i="4"/>
  <c r="W6" i="4"/>
  <c r="V6" i="4"/>
  <c r="T6" i="4"/>
  <c r="U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6" i="4"/>
  <c r="L17" i="4"/>
  <c r="M17" i="4"/>
  <c r="L18" i="4"/>
  <c r="L19" i="4"/>
  <c r="M19" i="4"/>
  <c r="L20" i="4"/>
  <c r="L21" i="4"/>
  <c r="M21" i="4"/>
  <c r="L22" i="4"/>
  <c r="L23" i="4"/>
  <c r="M23" i="4" s="1"/>
  <c r="L24" i="4"/>
  <c r="L25" i="4"/>
  <c r="L26" i="4"/>
  <c r="L27" i="4"/>
  <c r="M27" i="4"/>
  <c r="L28" i="4"/>
  <c r="M28" i="4"/>
  <c r="L29" i="4"/>
  <c r="M29" i="4"/>
  <c r="L30" i="4"/>
  <c r="L31" i="4"/>
  <c r="M31" i="4" s="1"/>
  <c r="L32" i="4"/>
  <c r="M32" i="4"/>
  <c r="L33" i="4"/>
  <c r="M33" i="4" s="1"/>
  <c r="L34" i="4"/>
  <c r="L35" i="4"/>
  <c r="M35" i="4"/>
  <c r="L36" i="4"/>
  <c r="L37" i="4"/>
  <c r="M37" i="4"/>
  <c r="L38" i="4"/>
  <c r="L39" i="4"/>
  <c r="M39" i="4"/>
  <c r="L40" i="4"/>
  <c r="L41" i="4"/>
  <c r="L42" i="4"/>
  <c r="L43" i="4"/>
  <c r="M43" i="4"/>
  <c r="L44" i="4"/>
  <c r="M44" i="4" s="1"/>
  <c r="L45" i="4"/>
  <c r="M45" i="4"/>
  <c r="L46" i="4"/>
  <c r="L47" i="4"/>
  <c r="M47" i="4"/>
  <c r="L48" i="4"/>
  <c r="M48" i="4"/>
  <c r="L49" i="4"/>
  <c r="M49" i="4"/>
  <c r="L50" i="4"/>
  <c r="L51" i="4"/>
  <c r="M51" i="4" s="1"/>
  <c r="L52" i="4"/>
  <c r="L53" i="4"/>
  <c r="M53" i="4"/>
  <c r="L54" i="4"/>
  <c r="L55" i="4"/>
  <c r="M55" i="4"/>
  <c r="L56" i="4"/>
  <c r="L57" i="4"/>
  <c r="L58" i="4"/>
  <c r="L59" i="4"/>
  <c r="M59" i="4"/>
  <c r="L60" i="4"/>
  <c r="M60" i="4"/>
  <c r="L61" i="4"/>
  <c r="M61" i="4"/>
  <c r="L62" i="4"/>
  <c r="L63" i="4"/>
  <c r="M63" i="4"/>
  <c r="L64" i="4"/>
  <c r="M64" i="4" s="1"/>
  <c r="L65" i="4"/>
  <c r="M65" i="4"/>
  <c r="L66" i="4"/>
  <c r="L67" i="4"/>
  <c r="M67" i="4"/>
  <c r="L68" i="4"/>
  <c r="L69" i="4"/>
  <c r="L70" i="4"/>
  <c r="L71" i="4"/>
  <c r="M71" i="4"/>
  <c r="L72" i="4"/>
  <c r="L73" i="4"/>
  <c r="L74" i="4"/>
  <c r="L75" i="4"/>
  <c r="M75" i="4"/>
  <c r="L76" i="4"/>
  <c r="L77" i="4"/>
  <c r="L78" i="4"/>
  <c r="L79" i="4"/>
  <c r="M79" i="4" s="1"/>
  <c r="L80" i="4"/>
  <c r="L81" i="4"/>
  <c r="L82" i="4"/>
  <c r="L83" i="4"/>
  <c r="M83" i="4"/>
  <c r="L84" i="4"/>
  <c r="L85" i="4"/>
  <c r="L86" i="4"/>
  <c r="L87" i="4"/>
  <c r="M87" i="4"/>
  <c r="L88" i="4"/>
  <c r="L89" i="4"/>
  <c r="L90" i="4"/>
  <c r="L91" i="4"/>
  <c r="M91" i="4"/>
  <c r="L92" i="4"/>
  <c r="L93" i="4"/>
  <c r="L94" i="4"/>
  <c r="L95" i="4"/>
  <c r="M95" i="4" s="1"/>
  <c r="L96" i="4"/>
  <c r="L97" i="4"/>
  <c r="L98" i="4"/>
  <c r="L99" i="4"/>
  <c r="M99" i="4"/>
  <c r="L100" i="4"/>
  <c r="L101" i="4"/>
  <c r="L102" i="4"/>
  <c r="L103" i="4"/>
  <c r="M103" i="4"/>
  <c r="L104" i="4"/>
  <c r="L105" i="4"/>
  <c r="L106" i="4"/>
  <c r="L107" i="4"/>
  <c r="M107" i="4"/>
  <c r="L108" i="4"/>
  <c r="L109" i="4"/>
  <c r="L110" i="4"/>
  <c r="L111" i="4"/>
  <c r="M111" i="4" s="1"/>
  <c r="L112" i="4"/>
  <c r="L113" i="4"/>
  <c r="L114" i="4"/>
  <c r="L115" i="4"/>
  <c r="M115" i="4"/>
  <c r="L116" i="4"/>
  <c r="L117" i="4"/>
  <c r="L118" i="4"/>
  <c r="L119" i="4"/>
  <c r="M119" i="4"/>
  <c r="L120" i="4"/>
  <c r="L121" i="4"/>
  <c r="L122" i="4"/>
  <c r="L123" i="4"/>
  <c r="M123" i="4"/>
  <c r="L124" i="4"/>
  <c r="L125" i="4"/>
  <c r="L126" i="4"/>
  <c r="L127" i="4"/>
  <c r="M127" i="4" s="1"/>
  <c r="L128" i="4"/>
  <c r="L129" i="4"/>
  <c r="L130" i="4"/>
  <c r="L131" i="4"/>
  <c r="M131" i="4"/>
  <c r="L132" i="4"/>
  <c r="L133" i="4"/>
  <c r="L134" i="4"/>
  <c r="L135" i="4"/>
  <c r="M135" i="4"/>
  <c r="L136" i="4"/>
  <c r="L137" i="4"/>
  <c r="L138" i="4"/>
  <c r="L139" i="4"/>
  <c r="M139" i="4"/>
  <c r="L140" i="4"/>
  <c r="L141" i="4"/>
  <c r="L142" i="4"/>
  <c r="L143" i="4"/>
  <c r="M143" i="4" s="1"/>
  <c r="L144" i="4"/>
  <c r="L145" i="4"/>
  <c r="L146" i="4"/>
  <c r="L147" i="4"/>
  <c r="M147" i="4"/>
  <c r="L148" i="4"/>
  <c r="L149" i="4"/>
  <c r="L150" i="4"/>
  <c r="L151" i="4"/>
  <c r="M151" i="4"/>
  <c r="L152" i="4"/>
  <c r="L153" i="4"/>
  <c r="L154" i="4"/>
  <c r="L155" i="4"/>
  <c r="M155" i="4"/>
  <c r="L156" i="4"/>
  <c r="L157" i="4"/>
  <c r="L158" i="4"/>
  <c r="L159" i="4"/>
  <c r="M159" i="4" s="1"/>
  <c r="L160" i="4"/>
  <c r="L161" i="4"/>
  <c r="L162" i="4"/>
  <c r="L163" i="4"/>
  <c r="M163" i="4"/>
  <c r="L164" i="4"/>
  <c r="L165" i="4"/>
  <c r="L166" i="4"/>
  <c r="L167" i="4"/>
  <c r="M167" i="4"/>
  <c r="L168" i="4"/>
  <c r="L169" i="4"/>
  <c r="L170" i="4"/>
  <c r="L171" i="4"/>
  <c r="M171" i="4"/>
  <c r="L172" i="4"/>
  <c r="L173" i="4"/>
  <c r="L174" i="4"/>
  <c r="L175" i="4"/>
  <c r="M175" i="4" s="1"/>
  <c r="L176" i="4"/>
  <c r="L177" i="4"/>
  <c r="L178" i="4"/>
  <c r="L179" i="4"/>
  <c r="M179" i="4"/>
  <c r="L180" i="4"/>
  <c r="L181" i="4"/>
  <c r="L182" i="4"/>
  <c r="L183" i="4"/>
  <c r="M183" i="4"/>
  <c r="L184" i="4"/>
  <c r="L185" i="4"/>
  <c r="L186" i="4"/>
  <c r="L187" i="4"/>
  <c r="M187" i="4"/>
  <c r="L188" i="4"/>
  <c r="L189" i="4"/>
  <c r="L190" i="4"/>
  <c r="L191" i="4"/>
  <c r="M191" i="4" s="1"/>
  <c r="L192" i="4"/>
  <c r="L193" i="4"/>
  <c r="L194" i="4"/>
  <c r="L195" i="4"/>
  <c r="M195" i="4"/>
  <c r="L196" i="4"/>
  <c r="L197" i="4"/>
  <c r="L198" i="4"/>
  <c r="L199" i="4"/>
  <c r="M199" i="4"/>
  <c r="L200" i="4"/>
  <c r="L201" i="4"/>
  <c r="L202" i="4"/>
  <c r="L203" i="4"/>
  <c r="M203" i="4"/>
  <c r="L204" i="4"/>
  <c r="L205" i="4"/>
  <c r="L206" i="4"/>
  <c r="L207" i="4"/>
  <c r="M207" i="4" s="1"/>
  <c r="L208" i="4"/>
  <c r="L209" i="4"/>
  <c r="L210" i="4"/>
  <c r="L211" i="4"/>
  <c r="M211" i="4"/>
  <c r="L212" i="4"/>
  <c r="L213" i="4"/>
  <c r="L214" i="4"/>
  <c r="L215" i="4"/>
  <c r="M215" i="4"/>
  <c r="L216" i="4"/>
  <c r="L217" i="4"/>
  <c r="L218" i="4"/>
  <c r="L219" i="4"/>
  <c r="M219" i="4"/>
  <c r="L220" i="4"/>
  <c r="L221" i="4"/>
  <c r="L222" i="4"/>
  <c r="L223" i="4"/>
  <c r="M223" i="4" s="1"/>
  <c r="L224" i="4"/>
  <c r="L225" i="4"/>
  <c r="L226" i="4"/>
  <c r="L227" i="4"/>
  <c r="M227" i="4"/>
  <c r="L228" i="4"/>
  <c r="L229" i="4"/>
  <c r="L230" i="4"/>
  <c r="L231" i="4"/>
  <c r="M231" i="4"/>
  <c r="L232" i="4"/>
  <c r="L233" i="4"/>
  <c r="L234" i="4"/>
  <c r="L235" i="4"/>
  <c r="M235" i="4"/>
  <c r="L236" i="4"/>
  <c r="L237" i="4"/>
  <c r="L238" i="4"/>
  <c r="L239" i="4"/>
  <c r="M239" i="4" s="1"/>
  <c r="L240" i="4"/>
  <c r="L241" i="4"/>
  <c r="L242" i="4"/>
  <c r="L243" i="4"/>
  <c r="M243" i="4"/>
  <c r="L244" i="4"/>
  <c r="L245" i="4"/>
  <c r="L246" i="4"/>
  <c r="L247" i="4"/>
  <c r="M247" i="4"/>
  <c r="L248" i="4"/>
  <c r="L249" i="4"/>
  <c r="L250" i="4"/>
  <c r="L251" i="4"/>
  <c r="M251" i="4"/>
  <c r="L252" i="4"/>
  <c r="L253" i="4"/>
  <c r="L254" i="4"/>
  <c r="L255" i="4"/>
  <c r="M255" i="4" s="1"/>
  <c r="L256" i="4"/>
  <c r="L257" i="4"/>
  <c r="L258" i="4"/>
  <c r="L259" i="4"/>
  <c r="M259" i="4"/>
  <c r="L260" i="4"/>
  <c r="L261" i="4"/>
  <c r="L262" i="4"/>
  <c r="L263" i="4"/>
  <c r="M263" i="4"/>
  <c r="L264" i="4"/>
  <c r="L265" i="4"/>
  <c r="L266" i="4"/>
  <c r="L267" i="4"/>
  <c r="M267" i="4"/>
  <c r="L268" i="4"/>
  <c r="L269" i="4"/>
  <c r="L270" i="4"/>
  <c r="L271" i="4"/>
  <c r="M271" i="4" s="1"/>
  <c r="L272" i="4"/>
  <c r="L273" i="4"/>
  <c r="L274" i="4"/>
  <c r="L275" i="4"/>
  <c r="M275" i="4"/>
  <c r="L276" i="4"/>
  <c r="L277" i="4"/>
  <c r="L278" i="4"/>
  <c r="L279" i="4"/>
  <c r="M279" i="4"/>
  <c r="L280" i="4"/>
  <c r="L281" i="4"/>
  <c r="L282" i="4"/>
  <c r="L283" i="4"/>
  <c r="M283" i="4"/>
  <c r="L284" i="4"/>
  <c r="L285" i="4"/>
  <c r="L286" i="4"/>
  <c r="L287" i="4"/>
  <c r="M287" i="4" s="1"/>
  <c r="L288" i="4"/>
  <c r="L289" i="4"/>
  <c r="L290" i="4"/>
  <c r="L291" i="4"/>
  <c r="M291" i="4"/>
  <c r="L292" i="4"/>
  <c r="L293" i="4"/>
  <c r="L294" i="4"/>
  <c r="L295" i="4"/>
  <c r="M295" i="4"/>
  <c r="L296" i="4"/>
  <c r="L297" i="4"/>
  <c r="L298" i="4"/>
  <c r="L299" i="4"/>
  <c r="M299" i="4"/>
  <c r="L300" i="4"/>
  <c r="L301" i="4"/>
  <c r="L302" i="4"/>
  <c r="L303" i="4"/>
  <c r="M303" i="4" s="1"/>
  <c r="L304" i="4"/>
  <c r="L305" i="4"/>
  <c r="L306" i="4"/>
  <c r="L307" i="4"/>
  <c r="M307" i="4"/>
  <c r="L308" i="4"/>
  <c r="L309" i="4"/>
  <c r="L310" i="4"/>
  <c r="L311" i="4"/>
  <c r="M311" i="4"/>
  <c r="L312" i="4"/>
  <c r="L313" i="4"/>
  <c r="L314" i="4"/>
  <c r="L315" i="4"/>
  <c r="M315" i="4"/>
  <c r="L316" i="4"/>
  <c r="L317" i="4"/>
  <c r="L318" i="4"/>
  <c r="L319" i="4"/>
  <c r="M319" i="4" s="1"/>
  <c r="L320" i="4"/>
  <c r="L321" i="4"/>
  <c r="L322" i="4"/>
  <c r="L323" i="4"/>
  <c r="M323" i="4"/>
  <c r="L324" i="4"/>
  <c r="L325" i="4"/>
  <c r="L326" i="4"/>
  <c r="L327" i="4"/>
  <c r="M327" i="4"/>
  <c r="L328" i="4"/>
  <c r="L329" i="4"/>
  <c r="L330" i="4"/>
  <c r="L331" i="4"/>
  <c r="M331" i="4"/>
  <c r="L332" i="4"/>
  <c r="L333" i="4"/>
  <c r="L334" i="4"/>
  <c r="L335" i="4"/>
  <c r="M335" i="4" s="1"/>
  <c r="L336" i="4"/>
  <c r="L337" i="4"/>
  <c r="L338" i="4"/>
  <c r="L339" i="4"/>
  <c r="M339" i="4"/>
  <c r="L340" i="4"/>
  <c r="L341" i="4"/>
  <c r="L342" i="4"/>
  <c r="L343" i="4"/>
  <c r="M343" i="4"/>
  <c r="L344" i="4"/>
  <c r="L345" i="4"/>
  <c r="L346" i="4"/>
  <c r="L347" i="4"/>
  <c r="M347" i="4"/>
  <c r="L348" i="4"/>
  <c r="L349" i="4"/>
  <c r="L350" i="4"/>
  <c r="L351" i="4"/>
  <c r="M351" i="4" s="1"/>
  <c r="L352" i="4"/>
  <c r="L353" i="4"/>
  <c r="L354" i="4"/>
  <c r="L355" i="4"/>
  <c r="M355" i="4"/>
  <c r="L356" i="4"/>
  <c r="L357" i="4"/>
  <c r="L358" i="4"/>
  <c r="L359" i="4"/>
  <c r="M359" i="4"/>
  <c r="L360" i="4"/>
  <c r="L361" i="4"/>
  <c r="L362" i="4"/>
  <c r="L363" i="4"/>
  <c r="M363" i="4"/>
  <c r="L364" i="4"/>
  <c r="L365" i="4"/>
  <c r="L366" i="4"/>
  <c r="L367" i="4"/>
  <c r="M367" i="4" s="1"/>
  <c r="L368" i="4"/>
  <c r="L369" i="4"/>
  <c r="L370" i="4"/>
  <c r="L371" i="4"/>
  <c r="M371" i="4"/>
  <c r="L372" i="4"/>
  <c r="L373" i="4"/>
  <c r="L374" i="4"/>
  <c r="L375" i="4"/>
  <c r="M375" i="4"/>
  <c r="L376" i="4"/>
  <c r="L377" i="4"/>
  <c r="L378" i="4"/>
  <c r="L379" i="4"/>
  <c r="M379" i="4"/>
  <c r="L380" i="4"/>
  <c r="L381" i="4"/>
  <c r="L382" i="4"/>
  <c r="L383" i="4"/>
  <c r="M383" i="4" s="1"/>
  <c r="L384" i="4"/>
  <c r="L385" i="4"/>
  <c r="L386" i="4"/>
  <c r="L387" i="4"/>
  <c r="M387" i="4"/>
  <c r="L388" i="4"/>
  <c r="L389" i="4"/>
  <c r="L390" i="4"/>
  <c r="L391" i="4"/>
  <c r="M391" i="4"/>
  <c r="L392" i="4"/>
  <c r="L393" i="4"/>
  <c r="L394" i="4"/>
  <c r="L395" i="4"/>
  <c r="M395" i="4"/>
  <c r="L396" i="4"/>
  <c r="L397" i="4"/>
  <c r="L398" i="4"/>
  <c r="L399" i="4"/>
  <c r="M399" i="4" s="1"/>
  <c r="L400" i="4"/>
  <c r="L401" i="4"/>
  <c r="L402" i="4"/>
  <c r="L403" i="4"/>
  <c r="M403" i="4"/>
  <c r="L404" i="4"/>
  <c r="L405" i="4"/>
  <c r="L406" i="4"/>
  <c r="L407" i="4"/>
  <c r="M407" i="4"/>
  <c r="L408" i="4"/>
  <c r="L409" i="4"/>
  <c r="L410" i="4"/>
  <c r="L411" i="4"/>
  <c r="M411" i="4"/>
  <c r="L412" i="4"/>
  <c r="L413" i="4"/>
  <c r="L414" i="4"/>
  <c r="L415" i="4"/>
  <c r="M415" i="4" s="1"/>
  <c r="L416" i="4"/>
  <c r="L417" i="4"/>
  <c r="L418" i="4"/>
  <c r="L419" i="4"/>
  <c r="M419" i="4"/>
  <c r="L420" i="4"/>
  <c r="L421" i="4"/>
  <c r="L422" i="4"/>
  <c r="L423" i="4"/>
  <c r="M423" i="4"/>
  <c r="L424" i="4"/>
  <c r="L425" i="4"/>
  <c r="L426" i="4"/>
  <c r="L427" i="4"/>
  <c r="M427" i="4"/>
  <c r="L428" i="4"/>
  <c r="L429" i="4"/>
  <c r="L430" i="4"/>
  <c r="L431" i="4"/>
  <c r="M431" i="4" s="1"/>
  <c r="L432" i="4"/>
  <c r="L433" i="4"/>
  <c r="L434" i="4"/>
  <c r="L435" i="4"/>
  <c r="M435" i="4"/>
  <c r="L436" i="4"/>
  <c r="L437" i="4"/>
  <c r="L438" i="4"/>
  <c r="L439" i="4"/>
  <c r="M439" i="4"/>
  <c r="L440" i="4"/>
  <c r="L441" i="4"/>
  <c r="L442" i="4"/>
  <c r="L443" i="4"/>
  <c r="M443" i="4"/>
  <c r="L444" i="4"/>
  <c r="L445" i="4"/>
  <c r="L446" i="4"/>
  <c r="L447" i="4"/>
  <c r="M447" i="4" s="1"/>
  <c r="L448" i="4"/>
  <c r="L449" i="4"/>
  <c r="L450" i="4"/>
  <c r="L451" i="4"/>
  <c r="M451" i="4"/>
  <c r="L452" i="4"/>
  <c r="L453" i="4"/>
  <c r="L454" i="4"/>
  <c r="L455" i="4"/>
  <c r="M455" i="4"/>
  <c r="L456" i="4"/>
  <c r="L457" i="4"/>
  <c r="L458" i="4"/>
  <c r="L459" i="4"/>
  <c r="M459" i="4"/>
  <c r="L460" i="4"/>
  <c r="L461" i="4"/>
  <c r="L462" i="4"/>
  <c r="L463" i="4"/>
  <c r="M463" i="4" s="1"/>
  <c r="L464" i="4"/>
  <c r="L465" i="4"/>
  <c r="L466" i="4"/>
  <c r="L467" i="4"/>
  <c r="M467" i="4"/>
  <c r="L468" i="4"/>
  <c r="L469" i="4"/>
  <c r="L470" i="4"/>
  <c r="L471" i="4"/>
  <c r="M471" i="4"/>
  <c r="L472" i="4"/>
  <c r="L473" i="4"/>
  <c r="L474" i="4"/>
  <c r="L475" i="4"/>
  <c r="M475" i="4"/>
  <c r="L476" i="4"/>
  <c r="L477" i="4"/>
  <c r="L478" i="4"/>
  <c r="L479" i="4"/>
  <c r="M479" i="4" s="1"/>
  <c r="L480" i="4"/>
  <c r="L481" i="4"/>
  <c r="L482" i="4"/>
  <c r="L483" i="4"/>
  <c r="M483" i="4"/>
  <c r="L484" i="4"/>
  <c r="L485" i="4"/>
  <c r="L486" i="4"/>
  <c r="L487" i="4"/>
  <c r="M487" i="4"/>
  <c r="L488" i="4"/>
  <c r="L489" i="4"/>
  <c r="L490" i="4"/>
  <c r="L491" i="4"/>
  <c r="M491" i="4"/>
  <c r="L492" i="4"/>
  <c r="L493" i="4"/>
  <c r="L494" i="4"/>
  <c r="L495" i="4"/>
  <c r="M495" i="4" s="1"/>
  <c r="L496" i="4"/>
  <c r="L497" i="4"/>
  <c r="L498" i="4"/>
  <c r="L499" i="4"/>
  <c r="M499" i="4"/>
  <c r="L500" i="4"/>
  <c r="L501" i="4"/>
  <c r="L502" i="4"/>
  <c r="L503" i="4"/>
  <c r="M503" i="4"/>
  <c r="L504" i="4"/>
  <c r="L505" i="4"/>
  <c r="L506" i="4"/>
  <c r="L507" i="4"/>
  <c r="M507" i="4"/>
  <c r="L508" i="4"/>
  <c r="L509" i="4"/>
  <c r="L510" i="4"/>
  <c r="L511" i="4"/>
  <c r="M511" i="4" s="1"/>
  <c r="L512" i="4"/>
  <c r="L513" i="4"/>
  <c r="L514" i="4"/>
  <c r="L515" i="4"/>
  <c r="M515" i="4"/>
  <c r="L516" i="4"/>
  <c r="L517" i="4"/>
  <c r="L518" i="4"/>
  <c r="L519" i="4"/>
  <c r="M519" i="4"/>
  <c r="L520" i="4"/>
  <c r="L521" i="4"/>
  <c r="L522" i="4"/>
  <c r="L523" i="4"/>
  <c r="M523" i="4"/>
  <c r="L524" i="4"/>
  <c r="L525" i="4"/>
  <c r="L526" i="4"/>
  <c r="L527" i="4"/>
  <c r="M527" i="4" s="1"/>
  <c r="L528" i="4"/>
  <c r="L529" i="4"/>
  <c r="L530" i="4"/>
  <c r="L531" i="4"/>
  <c r="M531" i="4"/>
  <c r="L532" i="4"/>
  <c r="L533" i="4"/>
  <c r="L534" i="4"/>
  <c r="L535" i="4"/>
  <c r="M535" i="4"/>
  <c r="L536" i="4"/>
  <c r="L537" i="4"/>
  <c r="L538" i="4"/>
  <c r="L539" i="4"/>
  <c r="M539" i="4"/>
  <c r="L540" i="4"/>
  <c r="L541" i="4"/>
  <c r="L542" i="4"/>
  <c r="L543" i="4"/>
  <c r="M543" i="4" s="1"/>
  <c r="L544" i="4"/>
  <c r="L545" i="4"/>
  <c r="L546" i="4"/>
  <c r="L547" i="4"/>
  <c r="M547" i="4"/>
  <c r="L548" i="4"/>
  <c r="L549" i="4"/>
  <c r="L550" i="4"/>
  <c r="L551" i="4"/>
  <c r="M551" i="4"/>
  <c r="L552" i="4"/>
  <c r="L553" i="4"/>
  <c r="L554" i="4"/>
  <c r="L555" i="4"/>
  <c r="M555" i="4"/>
  <c r="L556" i="4"/>
  <c r="L557" i="4"/>
  <c r="L558" i="4"/>
  <c r="L559" i="4"/>
  <c r="M559" i="4" s="1"/>
  <c r="L560" i="4"/>
  <c r="L561" i="4"/>
  <c r="L562" i="4"/>
  <c r="L563" i="4"/>
  <c r="M563" i="4"/>
  <c r="L564" i="4"/>
  <c r="L565" i="4"/>
  <c r="L566" i="4"/>
  <c r="L567" i="4"/>
  <c r="M567" i="4"/>
  <c r="L568" i="4"/>
  <c r="L569" i="4"/>
  <c r="L570" i="4"/>
  <c r="L571" i="4"/>
  <c r="M571" i="4"/>
  <c r="L572" i="4"/>
  <c r="L573" i="4"/>
  <c r="L574" i="4"/>
  <c r="L575" i="4"/>
  <c r="M575" i="4" s="1"/>
  <c r="L576" i="4"/>
  <c r="L577" i="4"/>
  <c r="L578" i="4"/>
  <c r="L579" i="4"/>
  <c r="M579" i="4"/>
  <c r="L580" i="4"/>
  <c r="L581" i="4"/>
  <c r="L582" i="4"/>
  <c r="L583" i="4"/>
  <c r="M583" i="4"/>
  <c r="L584" i="4"/>
  <c r="L585" i="4"/>
  <c r="L586" i="4"/>
  <c r="L587" i="4"/>
  <c r="M587" i="4"/>
  <c r="L588" i="4"/>
  <c r="L589" i="4"/>
  <c r="L590" i="4"/>
  <c r="L591" i="4"/>
  <c r="M591" i="4" s="1"/>
  <c r="L592" i="4"/>
  <c r="L593" i="4"/>
  <c r="L594" i="4"/>
  <c r="L595" i="4"/>
  <c r="M595" i="4"/>
  <c r="L596" i="4"/>
  <c r="L597" i="4"/>
  <c r="L598" i="4"/>
  <c r="L599" i="4"/>
  <c r="M599" i="4"/>
  <c r="L600" i="4"/>
  <c r="L601" i="4"/>
  <c r="L602" i="4"/>
  <c r="L603" i="4"/>
  <c r="M603" i="4"/>
  <c r="L604" i="4"/>
  <c r="L605" i="4"/>
  <c r="L606" i="4"/>
  <c r="L607" i="4"/>
  <c r="M607" i="4" s="1"/>
  <c r="L608" i="4"/>
  <c r="L609" i="4"/>
  <c r="L610" i="4"/>
  <c r="L611" i="4"/>
  <c r="M611" i="4"/>
  <c r="L612" i="4"/>
  <c r="L613" i="4"/>
  <c r="L614" i="4"/>
  <c r="L615" i="4"/>
  <c r="M615" i="4"/>
  <c r="L616" i="4"/>
  <c r="L617" i="4"/>
  <c r="L618" i="4"/>
  <c r="L619" i="4"/>
  <c r="M619" i="4"/>
  <c r="L620" i="4"/>
  <c r="L621" i="4"/>
  <c r="L622" i="4"/>
  <c r="L623" i="4"/>
  <c r="M623" i="4" s="1"/>
  <c r="L624" i="4"/>
  <c r="L625" i="4"/>
  <c r="L626" i="4"/>
  <c r="L627" i="4"/>
  <c r="M627" i="4"/>
  <c r="L628" i="4"/>
  <c r="L629" i="4"/>
  <c r="L630" i="4"/>
  <c r="L631" i="4"/>
  <c r="M631" i="4"/>
  <c r="L632" i="4"/>
  <c r="L633" i="4"/>
  <c r="L634" i="4"/>
  <c r="L635" i="4"/>
  <c r="M635" i="4"/>
  <c r="L636" i="4"/>
  <c r="L637" i="4"/>
  <c r="L638" i="4"/>
  <c r="L639" i="4"/>
  <c r="M639" i="4" s="1"/>
  <c r="L640" i="4"/>
  <c r="L641" i="4"/>
  <c r="L642" i="4"/>
  <c r="L643" i="4"/>
  <c r="M643" i="4"/>
  <c r="L644" i="4"/>
  <c r="L645" i="4"/>
  <c r="L646" i="4"/>
  <c r="L647" i="4"/>
  <c r="M647" i="4"/>
  <c r="L648" i="4"/>
  <c r="L649" i="4"/>
  <c r="L650" i="4"/>
  <c r="L651" i="4"/>
  <c r="M651" i="4"/>
  <c r="L652" i="4"/>
  <c r="L653" i="4"/>
  <c r="L654" i="4"/>
  <c r="L655" i="4"/>
  <c r="M655" i="4" s="1"/>
  <c r="L656" i="4"/>
  <c r="L657" i="4"/>
  <c r="L658" i="4"/>
  <c r="L659" i="4"/>
  <c r="M659" i="4"/>
  <c r="L660" i="4"/>
  <c r="L661" i="4"/>
  <c r="L662" i="4"/>
  <c r="L663" i="4"/>
  <c r="M663" i="4"/>
  <c r="L664" i="4"/>
  <c r="L665" i="4"/>
  <c r="L666" i="4"/>
  <c r="L667" i="4"/>
  <c r="M667" i="4"/>
  <c r="L668" i="4"/>
  <c r="L669" i="4"/>
  <c r="L670" i="4"/>
  <c r="L671" i="4"/>
  <c r="M671" i="4" s="1"/>
  <c r="L672" i="4"/>
  <c r="L673" i="4"/>
  <c r="L674" i="4"/>
  <c r="L675" i="4"/>
  <c r="M675" i="4"/>
  <c r="L676" i="4"/>
  <c r="L677" i="4"/>
  <c r="L678" i="4"/>
  <c r="L679" i="4"/>
  <c r="M679" i="4"/>
  <c r="L680" i="4"/>
  <c r="L681" i="4"/>
  <c r="L682" i="4"/>
  <c r="L683" i="4"/>
  <c r="M683" i="4"/>
  <c r="L684" i="4"/>
  <c r="L685" i="4"/>
  <c r="L686" i="4"/>
  <c r="L687" i="4"/>
  <c r="M687" i="4" s="1"/>
  <c r="L688" i="4"/>
  <c r="L689" i="4"/>
  <c r="L690" i="4"/>
  <c r="M690" i="4" s="1"/>
  <c r="L691" i="4"/>
  <c r="M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6" i="4"/>
  <c r="M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6" i="4"/>
  <c r="M18" i="4"/>
  <c r="M20" i="4"/>
  <c r="M22" i="4"/>
  <c r="M24" i="4"/>
  <c r="M25" i="4"/>
  <c r="M26" i="4"/>
  <c r="M30" i="4"/>
  <c r="M34" i="4"/>
  <c r="M36" i="4"/>
  <c r="M38" i="4"/>
  <c r="M40" i="4"/>
  <c r="M41" i="4"/>
  <c r="M42" i="4"/>
  <c r="M46" i="4"/>
  <c r="M50" i="4"/>
  <c r="M52" i="4"/>
  <c r="M54" i="4"/>
  <c r="M56" i="4"/>
  <c r="M57" i="4"/>
  <c r="M58" i="4"/>
  <c r="M62" i="4"/>
  <c r="M66" i="4"/>
  <c r="M68" i="4"/>
  <c r="M69" i="4"/>
  <c r="M70" i="4"/>
  <c r="M72" i="4"/>
  <c r="M73" i="4"/>
  <c r="M74" i="4"/>
  <c r="M76" i="4"/>
  <c r="M77" i="4"/>
  <c r="M78" i="4"/>
  <c r="M80" i="4"/>
  <c r="M81" i="4"/>
  <c r="M82" i="4"/>
  <c r="M84" i="4"/>
  <c r="M85" i="4"/>
  <c r="M86" i="4"/>
  <c r="M88" i="4"/>
  <c r="M89" i="4"/>
  <c r="M90" i="4"/>
  <c r="M92" i="4"/>
  <c r="M93" i="4"/>
  <c r="M94" i="4"/>
  <c r="M96" i="4"/>
  <c r="M97" i="4"/>
  <c r="M98" i="4"/>
  <c r="M100" i="4"/>
  <c r="M101" i="4"/>
  <c r="M102" i="4"/>
  <c r="M104" i="4"/>
  <c r="M105" i="4"/>
  <c r="M106" i="4"/>
  <c r="M108" i="4"/>
  <c r="M109" i="4"/>
  <c r="M110" i="4"/>
  <c r="M112" i="4"/>
  <c r="M113" i="4"/>
  <c r="M114" i="4"/>
  <c r="M116" i="4"/>
  <c r="M117" i="4"/>
  <c r="M118" i="4"/>
  <c r="M120" i="4"/>
  <c r="M121" i="4"/>
  <c r="M122" i="4"/>
  <c r="M124" i="4"/>
  <c r="M125" i="4"/>
  <c r="M126" i="4"/>
  <c r="M128" i="4"/>
  <c r="M129" i="4"/>
  <c r="M130" i="4"/>
  <c r="M132" i="4"/>
  <c r="M133" i="4"/>
  <c r="M134" i="4"/>
  <c r="M136" i="4"/>
  <c r="M137" i="4"/>
  <c r="M138" i="4"/>
  <c r="M140" i="4"/>
  <c r="M141" i="4"/>
  <c r="M142" i="4"/>
  <c r="M144" i="4"/>
  <c r="M145" i="4"/>
  <c r="M146" i="4"/>
  <c r="M148" i="4"/>
  <c r="M149" i="4"/>
  <c r="M150" i="4"/>
  <c r="M152" i="4"/>
  <c r="M153" i="4"/>
  <c r="M154" i="4"/>
  <c r="M156" i="4"/>
  <c r="M157" i="4"/>
  <c r="M158" i="4"/>
  <c r="M160" i="4"/>
  <c r="M161" i="4"/>
  <c r="M162" i="4"/>
  <c r="M164" i="4"/>
  <c r="M165" i="4"/>
  <c r="M166" i="4"/>
  <c r="M168" i="4"/>
  <c r="M169" i="4"/>
  <c r="M170" i="4"/>
  <c r="M172" i="4"/>
  <c r="M173" i="4"/>
  <c r="M174" i="4"/>
  <c r="M176" i="4"/>
  <c r="M177" i="4"/>
  <c r="M178" i="4"/>
  <c r="M180" i="4"/>
  <c r="M181" i="4"/>
  <c r="M182" i="4"/>
  <c r="M184" i="4"/>
  <c r="M185" i="4"/>
  <c r="M186" i="4"/>
  <c r="M188" i="4"/>
  <c r="M189" i="4"/>
  <c r="M190" i="4"/>
  <c r="M192" i="4"/>
  <c r="M193" i="4"/>
  <c r="M194" i="4"/>
  <c r="M196" i="4"/>
  <c r="M197" i="4"/>
  <c r="M198" i="4"/>
  <c r="M200" i="4"/>
  <c r="M201" i="4"/>
  <c r="M202" i="4"/>
  <c r="M204" i="4"/>
  <c r="M205" i="4"/>
  <c r="M206" i="4"/>
  <c r="M208" i="4"/>
  <c r="M209" i="4"/>
  <c r="M210" i="4"/>
  <c r="M212" i="4"/>
  <c r="M213" i="4"/>
  <c r="M214" i="4"/>
  <c r="M216" i="4"/>
  <c r="M217" i="4"/>
  <c r="M218" i="4"/>
  <c r="M220" i="4"/>
  <c r="M221" i="4"/>
  <c r="M222" i="4"/>
  <c r="M224" i="4"/>
  <c r="M225" i="4"/>
  <c r="M226" i="4"/>
  <c r="M228" i="4"/>
  <c r="M229" i="4"/>
  <c r="M230" i="4"/>
  <c r="M232" i="4"/>
  <c r="M233" i="4"/>
  <c r="M234" i="4"/>
  <c r="M236" i="4"/>
  <c r="M237" i="4"/>
  <c r="M238" i="4"/>
  <c r="M240" i="4"/>
  <c r="M241" i="4"/>
  <c r="M242" i="4"/>
  <c r="M244" i="4"/>
  <c r="M245" i="4"/>
  <c r="M246" i="4"/>
  <c r="M248" i="4"/>
  <c r="M249" i="4"/>
  <c r="M250" i="4"/>
  <c r="M252" i="4"/>
  <c r="M253" i="4"/>
  <c r="M254" i="4"/>
  <c r="M256" i="4"/>
  <c r="M257" i="4"/>
  <c r="M258" i="4"/>
  <c r="M260" i="4"/>
  <c r="M261" i="4"/>
  <c r="M262" i="4"/>
  <c r="M264" i="4"/>
  <c r="M265" i="4"/>
  <c r="M266" i="4"/>
  <c r="M268" i="4"/>
  <c r="M269" i="4"/>
  <c r="M270" i="4"/>
  <c r="M272" i="4"/>
  <c r="M273" i="4"/>
  <c r="M274" i="4"/>
  <c r="M276" i="4"/>
  <c r="M277" i="4"/>
  <c r="M278" i="4"/>
  <c r="M280" i="4"/>
  <c r="M281" i="4"/>
  <c r="M282" i="4"/>
  <c r="M284" i="4"/>
  <c r="M285" i="4"/>
  <c r="M286" i="4"/>
  <c r="M288" i="4"/>
  <c r="M289" i="4"/>
  <c r="M290" i="4"/>
  <c r="M292" i="4"/>
  <c r="M293" i="4"/>
  <c r="M294" i="4"/>
  <c r="M296" i="4"/>
  <c r="M297" i="4"/>
  <c r="M298" i="4"/>
  <c r="M300" i="4"/>
  <c r="M301" i="4"/>
  <c r="M302" i="4"/>
  <c r="M304" i="4"/>
  <c r="M305" i="4"/>
  <c r="M306" i="4"/>
  <c r="M308" i="4"/>
  <c r="M309" i="4"/>
  <c r="M310" i="4"/>
  <c r="M312" i="4"/>
  <c r="M313" i="4"/>
  <c r="M314" i="4"/>
  <c r="M316" i="4"/>
  <c r="M317" i="4"/>
  <c r="M318" i="4"/>
  <c r="M320" i="4"/>
  <c r="M321" i="4"/>
  <c r="M322" i="4"/>
  <c r="M324" i="4"/>
  <c r="M325" i="4"/>
  <c r="M326" i="4"/>
  <c r="M328" i="4"/>
  <c r="M329" i="4"/>
  <c r="M330" i="4"/>
  <c r="M332" i="4"/>
  <c r="M333" i="4"/>
  <c r="M334" i="4"/>
  <c r="M336" i="4"/>
  <c r="M337" i="4"/>
  <c r="M338" i="4"/>
  <c r="M340" i="4"/>
  <c r="M341" i="4"/>
  <c r="M342" i="4"/>
  <c r="M344" i="4"/>
  <c r="M345" i="4"/>
  <c r="M346" i="4"/>
  <c r="M348" i="4"/>
  <c r="M349" i="4"/>
  <c r="M350" i="4"/>
  <c r="M352" i="4"/>
  <c r="M353" i="4"/>
  <c r="M354" i="4"/>
  <c r="M356" i="4"/>
  <c r="M357" i="4"/>
  <c r="M358" i="4"/>
  <c r="M360" i="4"/>
  <c r="M361" i="4"/>
  <c r="M362" i="4"/>
  <c r="M364" i="4"/>
  <c r="M365" i="4"/>
  <c r="M366" i="4"/>
  <c r="M368" i="4"/>
  <c r="M369" i="4"/>
  <c r="M370" i="4"/>
  <c r="M372" i="4"/>
  <c r="M373" i="4"/>
  <c r="M374" i="4"/>
  <c r="M376" i="4"/>
  <c r="M377" i="4"/>
  <c r="M378" i="4"/>
  <c r="M380" i="4"/>
  <c r="M381" i="4"/>
  <c r="M382" i="4"/>
  <c r="M384" i="4"/>
  <c r="M385" i="4"/>
  <c r="M386" i="4"/>
  <c r="M388" i="4"/>
  <c r="M389" i="4"/>
  <c r="M390" i="4"/>
  <c r="M392" i="4"/>
  <c r="M393" i="4"/>
  <c r="M394" i="4"/>
  <c r="M396" i="4"/>
  <c r="M397" i="4"/>
  <c r="M398" i="4"/>
  <c r="M400" i="4"/>
  <c r="M401" i="4"/>
  <c r="M402" i="4"/>
  <c r="M404" i="4"/>
  <c r="M405" i="4"/>
  <c r="M406" i="4"/>
  <c r="M408" i="4"/>
  <c r="M409" i="4"/>
  <c r="M410" i="4"/>
  <c r="M412" i="4"/>
  <c r="M413" i="4"/>
  <c r="M414" i="4"/>
  <c r="M416" i="4"/>
  <c r="M417" i="4"/>
  <c r="M418" i="4"/>
  <c r="M420" i="4"/>
  <c r="M421" i="4"/>
  <c r="M422" i="4"/>
  <c r="M424" i="4"/>
  <c r="M425" i="4"/>
  <c r="M426" i="4"/>
  <c r="M428" i="4"/>
  <c r="M429" i="4"/>
  <c r="M430" i="4"/>
  <c r="M432" i="4"/>
  <c r="M433" i="4"/>
  <c r="M434" i="4"/>
  <c r="M436" i="4"/>
  <c r="M437" i="4"/>
  <c r="M438" i="4"/>
  <c r="M440" i="4"/>
  <c r="M441" i="4"/>
  <c r="M442" i="4"/>
  <c r="M444" i="4"/>
  <c r="M445" i="4"/>
  <c r="M446" i="4"/>
  <c r="M448" i="4"/>
  <c r="M449" i="4"/>
  <c r="M450" i="4"/>
  <c r="M452" i="4"/>
  <c r="M453" i="4"/>
  <c r="M454" i="4"/>
  <c r="M456" i="4"/>
  <c r="M457" i="4"/>
  <c r="M458" i="4"/>
  <c r="M460" i="4"/>
  <c r="M461" i="4"/>
  <c r="M462" i="4"/>
  <c r="M464" i="4"/>
  <c r="M465" i="4"/>
  <c r="M466" i="4"/>
  <c r="M468" i="4"/>
  <c r="M469" i="4"/>
  <c r="M470" i="4"/>
  <c r="M472" i="4"/>
  <c r="M473" i="4"/>
  <c r="M474" i="4"/>
  <c r="M476" i="4"/>
  <c r="M477" i="4"/>
  <c r="M478" i="4"/>
  <c r="M480" i="4"/>
  <c r="M481" i="4"/>
  <c r="M482" i="4"/>
  <c r="M484" i="4"/>
  <c r="M485" i="4"/>
  <c r="M486" i="4"/>
  <c r="M488" i="4"/>
  <c r="M489" i="4"/>
  <c r="M490" i="4"/>
  <c r="M492" i="4"/>
  <c r="M493" i="4"/>
  <c r="M494" i="4"/>
  <c r="M496" i="4"/>
  <c r="M497" i="4"/>
  <c r="M498" i="4"/>
  <c r="M500" i="4"/>
  <c r="M501" i="4"/>
  <c r="M502" i="4"/>
  <c r="M504" i="4"/>
  <c r="M505" i="4"/>
  <c r="M506" i="4"/>
  <c r="M508" i="4"/>
  <c r="M509" i="4"/>
  <c r="M510" i="4"/>
  <c r="M512" i="4"/>
  <c r="M513" i="4"/>
  <c r="M514" i="4"/>
  <c r="M516" i="4"/>
  <c r="M517" i="4"/>
  <c r="M518" i="4"/>
  <c r="M520" i="4"/>
  <c r="M521" i="4"/>
  <c r="M522" i="4"/>
  <c r="M524" i="4"/>
  <c r="M525" i="4"/>
  <c r="M526" i="4"/>
  <c r="M528" i="4"/>
  <c r="M529" i="4"/>
  <c r="M530" i="4"/>
  <c r="M532" i="4"/>
  <c r="M533" i="4"/>
  <c r="M534" i="4"/>
  <c r="M536" i="4"/>
  <c r="M537" i="4"/>
  <c r="M538" i="4"/>
  <c r="M540" i="4"/>
  <c r="M541" i="4"/>
  <c r="M542" i="4"/>
  <c r="M544" i="4"/>
  <c r="M545" i="4"/>
  <c r="M546" i="4"/>
  <c r="M548" i="4"/>
  <c r="M549" i="4"/>
  <c r="M550" i="4"/>
  <c r="M552" i="4"/>
  <c r="M553" i="4"/>
  <c r="M554" i="4"/>
  <c r="M556" i="4"/>
  <c r="M557" i="4"/>
  <c r="M558" i="4"/>
  <c r="M560" i="4"/>
  <c r="M561" i="4"/>
  <c r="M562" i="4"/>
  <c r="M564" i="4"/>
  <c r="M565" i="4"/>
  <c r="M566" i="4"/>
  <c r="M568" i="4"/>
  <c r="M569" i="4"/>
  <c r="M570" i="4"/>
  <c r="M572" i="4"/>
  <c r="M573" i="4"/>
  <c r="M574" i="4"/>
  <c r="M576" i="4"/>
  <c r="M577" i="4"/>
  <c r="M578" i="4"/>
  <c r="M580" i="4"/>
  <c r="M581" i="4"/>
  <c r="M582" i="4"/>
  <c r="M584" i="4"/>
  <c r="M585" i="4"/>
  <c r="M586" i="4"/>
  <c r="M588" i="4"/>
  <c r="M589" i="4"/>
  <c r="M590" i="4"/>
  <c r="M592" i="4"/>
  <c r="M593" i="4"/>
  <c r="M594" i="4"/>
  <c r="M596" i="4"/>
  <c r="M597" i="4"/>
  <c r="M598" i="4"/>
  <c r="M600" i="4"/>
  <c r="M601" i="4"/>
  <c r="M602" i="4"/>
  <c r="M604" i="4"/>
  <c r="M605" i="4"/>
  <c r="M606" i="4"/>
  <c r="M608" i="4"/>
  <c r="M609" i="4"/>
  <c r="M610" i="4"/>
  <c r="M612" i="4"/>
  <c r="M613" i="4"/>
  <c r="M614" i="4"/>
  <c r="M616" i="4"/>
  <c r="M617" i="4"/>
  <c r="M618" i="4"/>
  <c r="M620" i="4"/>
  <c r="M621" i="4"/>
  <c r="M622" i="4"/>
  <c r="M624" i="4"/>
  <c r="M625" i="4"/>
  <c r="M626" i="4"/>
  <c r="M628" i="4"/>
  <c r="M629" i="4"/>
  <c r="M630" i="4"/>
  <c r="M632" i="4"/>
  <c r="M633" i="4"/>
  <c r="M634" i="4"/>
  <c r="M636" i="4"/>
  <c r="M637" i="4"/>
  <c r="M638" i="4"/>
  <c r="M640" i="4"/>
  <c r="M641" i="4"/>
  <c r="M642" i="4"/>
  <c r="M644" i="4"/>
  <c r="M645" i="4"/>
  <c r="M646" i="4"/>
  <c r="M648" i="4"/>
  <c r="M649" i="4"/>
  <c r="M650" i="4"/>
  <c r="M652" i="4"/>
  <c r="M653" i="4"/>
  <c r="M654" i="4"/>
  <c r="M656" i="4"/>
  <c r="M657" i="4"/>
  <c r="M658" i="4"/>
  <c r="M660" i="4"/>
  <c r="M661" i="4"/>
  <c r="M662" i="4"/>
  <c r="M664" i="4"/>
  <c r="M665" i="4"/>
  <c r="M666" i="4"/>
  <c r="M668" i="4"/>
  <c r="M669" i="4"/>
  <c r="M670" i="4"/>
  <c r="M672" i="4"/>
  <c r="M673" i="4"/>
  <c r="M674" i="4"/>
  <c r="M676" i="4"/>
  <c r="M677" i="4"/>
  <c r="M678" i="4"/>
  <c r="M680" i="4"/>
  <c r="M681" i="4"/>
  <c r="M682" i="4"/>
  <c r="M684" i="4"/>
  <c r="M685" i="4"/>
  <c r="M686" i="4"/>
  <c r="M688" i="4"/>
  <c r="M689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6" i="4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P6" i="6" l="1"/>
  <c r="P5" i="6"/>
  <c r="M8" i="6"/>
  <c r="P8" i="6" s="1"/>
  <c r="L4" i="6"/>
  <c r="N4" i="6" s="1"/>
  <c r="N12" i="6" s="1"/>
  <c r="M11" i="6"/>
  <c r="P11" i="6" s="1"/>
  <c r="P4" i="6" l="1"/>
  <c r="M12" i="6"/>
</calcChain>
</file>

<file path=xl/sharedStrings.xml><?xml version="1.0" encoding="utf-8"?>
<sst xmlns="http://schemas.openxmlformats.org/spreadsheetml/2006/main" count="1758" uniqueCount="266">
  <si>
    <t>工厂</t>
  </si>
  <si>
    <t>跨工厂物料状态</t>
  </si>
  <si>
    <t>MS</t>
  </si>
  <si>
    <t>在工厂级别将物料标记为删除</t>
  </si>
  <si>
    <t>物料</t>
  </si>
  <si>
    <t>BMR</t>
  </si>
  <si>
    <t>物料描述</t>
  </si>
  <si>
    <t>生产厂商</t>
  </si>
  <si>
    <t>已创建</t>
  </si>
  <si>
    <t>创建时间</t>
  </si>
  <si>
    <t>备注2</t>
  </si>
  <si>
    <t>创建者</t>
  </si>
  <si>
    <t>MTyp</t>
  </si>
  <si>
    <t>物料类型</t>
  </si>
  <si>
    <t>物料组</t>
  </si>
  <si>
    <t>基本计量单位</t>
  </si>
  <si>
    <t>行业标准描述</t>
  </si>
  <si>
    <t>大小/量纲</t>
  </si>
  <si>
    <t>片型</t>
  </si>
  <si>
    <t>包装形式</t>
  </si>
  <si>
    <t>包装规格</t>
  </si>
  <si>
    <t>毛重</t>
  </si>
  <si>
    <t>WUn</t>
  </si>
  <si>
    <t>净重</t>
  </si>
  <si>
    <t>SC</t>
  </si>
  <si>
    <t>存储条件</t>
  </si>
  <si>
    <t>SLife</t>
  </si>
  <si>
    <t>RShLi</t>
  </si>
  <si>
    <t>期间标识</t>
  </si>
  <si>
    <t>货架存放期过期日期的期间标识</t>
  </si>
  <si>
    <t>市场</t>
  </si>
  <si>
    <t>外部物料组</t>
  </si>
  <si>
    <t>NDC国家药品监管码</t>
  </si>
  <si>
    <t>ANDA代码</t>
  </si>
  <si>
    <t>标准托的数量</t>
  </si>
  <si>
    <t>参考标准</t>
  </si>
  <si>
    <t>货号</t>
  </si>
  <si>
    <t>中包装规格</t>
  </si>
  <si>
    <t>中包装规格单位</t>
  </si>
  <si>
    <t>最大包装规格</t>
  </si>
  <si>
    <t>最大包装规格单位</t>
  </si>
  <si>
    <t>最小包装规格</t>
  </si>
  <si>
    <t>最小包装规格单位</t>
  </si>
  <si>
    <t>舍入规则</t>
  </si>
  <si>
    <t>利润中心</t>
  </si>
  <si>
    <t>备注1</t>
  </si>
  <si>
    <t>备注3</t>
  </si>
  <si>
    <t>备注4</t>
  </si>
  <si>
    <t>备注5</t>
  </si>
  <si>
    <t>基本视图K</t>
  </si>
  <si>
    <t>分类视图C</t>
  </si>
  <si>
    <t>仓储视图L</t>
  </si>
  <si>
    <t>成本视图G</t>
  </si>
  <si>
    <t>会计视图B</t>
  </si>
  <si>
    <t>采购视图E</t>
  </si>
  <si>
    <t>质量视图Q</t>
  </si>
  <si>
    <t>MRP视图D</t>
  </si>
  <si>
    <t>销售视图V</t>
  </si>
  <si>
    <t>工作视图A</t>
  </si>
  <si>
    <t>维护状态</t>
  </si>
  <si>
    <t>生产厂家</t>
    <phoneticPr fontId="1" type="noConversion"/>
  </si>
  <si>
    <t>最小批量大小</t>
    <phoneticPr fontId="1" type="noConversion"/>
  </si>
  <si>
    <t>单位</t>
    <phoneticPr fontId="1" type="noConversion"/>
  </si>
  <si>
    <t>物料</t>
    <phoneticPr fontId="1" type="noConversion"/>
  </si>
  <si>
    <t>BMR</t>
    <phoneticPr fontId="1" type="noConversion"/>
  </si>
  <si>
    <t>物料描述</t>
    <phoneticPr fontId="1" type="noConversion"/>
  </si>
  <si>
    <t>市场</t>
    <phoneticPr fontId="1" type="noConversion"/>
  </si>
  <si>
    <t>备注1</t>
    <phoneticPr fontId="1" type="noConversion"/>
  </si>
  <si>
    <t>备注2</t>
    <phoneticPr fontId="1" type="noConversion"/>
  </si>
  <si>
    <t>MRP控制者</t>
    <phoneticPr fontId="1" type="noConversion"/>
  </si>
  <si>
    <t>MRP类型</t>
    <phoneticPr fontId="1" type="noConversion"/>
  </si>
  <si>
    <t>批量程序</t>
    <phoneticPr fontId="1" type="noConversion"/>
  </si>
  <si>
    <t>固定批量</t>
    <phoneticPr fontId="1" type="noConversion"/>
  </si>
  <si>
    <t>再订货点</t>
    <phoneticPr fontId="1" type="noConversion"/>
  </si>
  <si>
    <t>安全库存</t>
    <phoneticPr fontId="1" type="noConversion"/>
  </si>
  <si>
    <t>批量大小</t>
    <phoneticPr fontId="1" type="noConversion"/>
  </si>
  <si>
    <t>舍入值</t>
    <phoneticPr fontId="1" type="noConversion"/>
  </si>
  <si>
    <t>采购类型</t>
    <phoneticPr fontId="1" type="noConversion"/>
  </si>
  <si>
    <t>收货处理时间</t>
    <phoneticPr fontId="1" type="noConversion"/>
  </si>
  <si>
    <t>计划交货时间</t>
    <phoneticPr fontId="1" type="noConversion"/>
  </si>
  <si>
    <t>MRP区域</t>
    <phoneticPr fontId="1" type="noConversion"/>
  </si>
  <si>
    <t>反冲</t>
    <phoneticPr fontId="1" type="noConversion"/>
  </si>
  <si>
    <t>批量输入</t>
    <phoneticPr fontId="1" type="noConversion"/>
  </si>
  <si>
    <t>自制生产时间</t>
    <phoneticPr fontId="1" type="noConversion"/>
  </si>
  <si>
    <t>策略组</t>
    <phoneticPr fontId="1" type="noConversion"/>
  </si>
  <si>
    <t>综合MRP</t>
    <phoneticPr fontId="1" type="noConversion"/>
  </si>
  <si>
    <t>消耗模式</t>
    <phoneticPr fontId="1" type="noConversion"/>
  </si>
  <si>
    <t>向前消耗期间</t>
    <phoneticPr fontId="1" type="noConversion"/>
  </si>
  <si>
    <t>向后消耗期间</t>
    <phoneticPr fontId="1" type="noConversion"/>
  </si>
  <si>
    <t>独立/集中</t>
    <phoneticPr fontId="1" type="noConversion"/>
  </si>
  <si>
    <t>计划的时界</t>
    <phoneticPr fontId="1" type="noConversion"/>
  </si>
  <si>
    <t>生产调度员</t>
    <phoneticPr fontId="1" type="noConversion"/>
  </si>
  <si>
    <t>生产计划参数文件</t>
    <phoneticPr fontId="1" type="noConversion"/>
  </si>
  <si>
    <t>X</t>
  </si>
  <si>
    <t>物料开头</t>
  </si>
  <si>
    <t>物料开头</t>
    <phoneticPr fontId="0" type="noConversion"/>
  </si>
  <si>
    <t>(多项)</t>
  </si>
  <si>
    <t>汇总</t>
  </si>
  <si>
    <t>计数项:工厂</t>
  </si>
  <si>
    <t>检测周期
（天）</t>
    <phoneticPr fontId="1" type="noConversion"/>
  </si>
  <si>
    <t>计划交货时间（天）</t>
    <phoneticPr fontId="2" type="noConversion"/>
  </si>
  <si>
    <t>是否维护</t>
  </si>
  <si>
    <t>是否维护</t>
    <phoneticPr fontId="0" type="noConversion"/>
  </si>
  <si>
    <t>是</t>
  </si>
  <si>
    <t>是</t>
    <phoneticPr fontId="0" type="noConversion"/>
  </si>
  <si>
    <t>61</t>
    <phoneticPr fontId="0" type="noConversion"/>
  </si>
  <si>
    <t>62</t>
    <phoneticPr fontId="0" type="noConversion"/>
  </si>
  <si>
    <t>63</t>
    <phoneticPr fontId="0" type="noConversion"/>
  </si>
  <si>
    <t>64</t>
    <phoneticPr fontId="0" type="noConversion"/>
  </si>
  <si>
    <t>65</t>
    <phoneticPr fontId="0" type="noConversion"/>
  </si>
  <si>
    <t>71</t>
    <phoneticPr fontId="0" type="noConversion"/>
  </si>
  <si>
    <t>中国</t>
  </si>
  <si>
    <t>研发</t>
  </si>
  <si>
    <t>Y01</t>
    <phoneticPr fontId="2" type="noConversion"/>
  </si>
  <si>
    <t>API</t>
    <phoneticPr fontId="2" type="noConversion"/>
  </si>
  <si>
    <t>辅料</t>
    <phoneticPr fontId="2" type="noConversion"/>
  </si>
  <si>
    <t>包材</t>
    <phoneticPr fontId="2" type="noConversion"/>
  </si>
  <si>
    <t>物料名称</t>
  </si>
  <si>
    <t>规格</t>
  </si>
  <si>
    <t>厂家</t>
  </si>
  <si>
    <t>年前</t>
  </si>
  <si>
    <t>价格</t>
  </si>
  <si>
    <t>(元/kg）</t>
  </si>
  <si>
    <t>预算</t>
  </si>
  <si>
    <t>(元/kg)</t>
  </si>
  <si>
    <t>最新</t>
  </si>
  <si>
    <t>年初预计使用量</t>
  </si>
  <si>
    <t>(KG)</t>
  </si>
  <si>
    <t>已使用</t>
  </si>
  <si>
    <t>库存</t>
  </si>
  <si>
    <t>预计仍需使用</t>
  </si>
  <si>
    <t>（KG）</t>
  </si>
  <si>
    <t>影响预算金额</t>
  </si>
  <si>
    <t>（万元）</t>
  </si>
  <si>
    <t>单水乳糖</t>
  </si>
  <si>
    <t>Flowlac</t>
  </si>
  <si>
    <t>MEGGLE</t>
  </si>
  <si>
    <t>甘露醇</t>
  </si>
  <si>
    <t>160C</t>
  </si>
  <si>
    <t>Roquette</t>
  </si>
  <si>
    <t>微晶纤维素</t>
  </si>
  <si>
    <t>101/102</t>
  </si>
  <si>
    <t>JRS</t>
  </si>
  <si>
    <t>交联聚维酮</t>
  </si>
  <si>
    <t>Kollidon CL</t>
  </si>
  <si>
    <t>BASF</t>
  </si>
  <si>
    <t>200SD</t>
  </si>
  <si>
    <t>聚维酮</t>
  </si>
  <si>
    <t>K30</t>
  </si>
  <si>
    <t>玉米淀粉</t>
  </si>
  <si>
    <t>——</t>
  </si>
  <si>
    <t>泊洛沙姆</t>
  </si>
  <si>
    <t>合计</t>
  </si>
  <si>
    <t>预计仍需使用</t>
    <phoneticPr fontId="2" type="noConversion"/>
  </si>
  <si>
    <t>上半年</t>
    <phoneticPr fontId="2" type="noConversion"/>
  </si>
  <si>
    <t>下半年</t>
    <phoneticPr fontId="2" type="noConversion"/>
  </si>
  <si>
    <t>年初预计半年度使用量</t>
    <phoneticPr fontId="2" type="noConversion"/>
  </si>
  <si>
    <t>内部批号</t>
  </si>
  <si>
    <t>质量检验</t>
  </si>
  <si>
    <t>销售订单</t>
  </si>
  <si>
    <t>客户合同号</t>
  </si>
  <si>
    <t>生产日期</t>
  </si>
  <si>
    <t>有效期至</t>
  </si>
  <si>
    <t>盐酸苯那普利片/20mg/30片/瓶/美国</t>
  </si>
  <si>
    <t>盐酸苯那普利片/20mg/100片/瓶/美国</t>
  </si>
  <si>
    <t>盐酸苯那普利片/40mg/30片/瓶/美国</t>
  </si>
  <si>
    <t>盐酸苯那普利片/40mg/100片/瓶/美国</t>
  </si>
  <si>
    <t>0000048293</t>
  </si>
  <si>
    <t>0000048294</t>
  </si>
  <si>
    <t>0000048794</t>
  </si>
  <si>
    <t>0000048795</t>
  </si>
  <si>
    <t>2200001549</t>
  </si>
  <si>
    <t>20</t>
    <phoneticPr fontId="2" type="noConversion"/>
  </si>
  <si>
    <t>30</t>
    <phoneticPr fontId="2" type="noConversion"/>
  </si>
  <si>
    <t>40</t>
    <phoneticPr fontId="2" type="noConversion"/>
  </si>
  <si>
    <t>50</t>
    <phoneticPr fontId="2" type="noConversion"/>
  </si>
  <si>
    <t>10</t>
    <phoneticPr fontId="2" type="noConversion"/>
  </si>
  <si>
    <t>盒</t>
  </si>
  <si>
    <r>
      <t>盐酸帕罗西汀片</t>
    </r>
    <r>
      <rPr>
        <sz val="10"/>
        <rFont val="Arial"/>
        <family val="2"/>
      </rPr>
      <t>/20mg/10</t>
    </r>
    <r>
      <rPr>
        <sz val="10"/>
        <rFont val="宋体"/>
        <family val="3"/>
        <charset val="134"/>
      </rPr>
      <t>片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板</t>
    </r>
    <r>
      <rPr>
        <sz val="10"/>
        <rFont val="Arial"/>
        <family val="2"/>
      </rPr>
      <t>×3</t>
    </r>
    <r>
      <rPr>
        <sz val="10"/>
        <rFont val="宋体"/>
        <family val="3"/>
        <charset val="134"/>
      </rPr>
      <t>板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盒</t>
    </r>
    <r>
      <rPr>
        <sz val="10"/>
        <rFont val="Arial"/>
        <family val="2"/>
      </rPr>
      <t>×200</t>
    </r>
    <r>
      <rPr>
        <sz val="10"/>
        <rFont val="宋体"/>
        <family val="3"/>
        <charset val="134"/>
      </rPr>
      <t>盒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箱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中国</t>
    </r>
  </si>
  <si>
    <r>
      <t>利培酮片</t>
    </r>
    <r>
      <rPr>
        <sz val="10"/>
        <rFont val="Arial"/>
        <family val="2"/>
      </rPr>
      <t>/1mg/10</t>
    </r>
    <r>
      <rPr>
        <sz val="10"/>
        <rFont val="宋体"/>
        <family val="3"/>
        <charset val="134"/>
      </rPr>
      <t>片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板</t>
    </r>
    <r>
      <rPr>
        <sz val="10"/>
        <rFont val="Arial"/>
        <family val="2"/>
      </rPr>
      <t>×6</t>
    </r>
    <r>
      <rPr>
        <sz val="10"/>
        <rFont val="宋体"/>
        <family val="3"/>
        <charset val="134"/>
      </rPr>
      <t>板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盒</t>
    </r>
    <r>
      <rPr>
        <sz val="10"/>
        <rFont val="Arial"/>
        <family val="2"/>
      </rPr>
      <t>×150</t>
    </r>
    <r>
      <rPr>
        <sz val="10"/>
        <rFont val="宋体"/>
        <family val="3"/>
        <charset val="134"/>
      </rPr>
      <t>盒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箱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中国</t>
    </r>
  </si>
  <si>
    <t>5300</t>
  </si>
  <si>
    <t>02</t>
  </si>
  <si>
    <t/>
  </si>
  <si>
    <t>否</t>
  </si>
  <si>
    <t>400976</t>
  </si>
  <si>
    <t>盐酸米诺环素胶囊/50mg/中国</t>
  </si>
  <si>
    <t>浙江昌海制药有限公司</t>
  </si>
  <si>
    <t>ZHENGX</t>
  </si>
  <si>
    <t>Z003</t>
  </si>
  <si>
    <t>华海半成品</t>
  </si>
  <si>
    <t>310104</t>
  </si>
  <si>
    <t>制剂非无菌中间产品-胶囊</t>
  </si>
  <si>
    <t>粒</t>
  </si>
  <si>
    <t>QS-T-F-023</t>
  </si>
  <si>
    <t>50mg</t>
  </si>
  <si>
    <t>胶囊</t>
  </si>
  <si>
    <t>D</t>
  </si>
  <si>
    <t>天</t>
  </si>
  <si>
    <t>李文静</t>
  </si>
  <si>
    <t>NA</t>
  </si>
  <si>
    <t>KCELQ</t>
  </si>
  <si>
    <t>400979</t>
  </si>
  <si>
    <t>利奥西呱片/0.5mg/中国</t>
  </si>
  <si>
    <t>江苏天晟药业股份有限公司</t>
  </si>
  <si>
    <t>310103</t>
  </si>
  <si>
    <t>制剂非无菌中间产品-片子</t>
  </si>
  <si>
    <t>片</t>
  </si>
  <si>
    <t>QS-T-F-022</t>
  </si>
  <si>
    <t>0.5mg</t>
  </si>
  <si>
    <t>圆形</t>
  </si>
  <si>
    <t>蒋智豪</t>
  </si>
  <si>
    <t>400983</t>
  </si>
  <si>
    <t>利奥西呱片/1mg/中国</t>
  </si>
  <si>
    <t>1mg</t>
  </si>
  <si>
    <t>400985</t>
  </si>
  <si>
    <t>利奥西呱片/2.5mg/中国</t>
  </si>
  <si>
    <t>2.5mg</t>
  </si>
  <si>
    <t>01</t>
  </si>
  <si>
    <t>101903</t>
  </si>
  <si>
    <t>明胶空心胶囊/4#/ChP</t>
  </si>
  <si>
    <t>绍兴康可胶囊有限公司</t>
  </si>
  <si>
    <t>项目</t>
  </si>
  <si>
    <t>Z001</t>
  </si>
  <si>
    <t>华海原辅料</t>
  </si>
  <si>
    <t>120101</t>
  </si>
  <si>
    <t>固体辅料-一般</t>
  </si>
  <si>
    <t>千粒</t>
  </si>
  <si>
    <t>QS-T-E-033</t>
  </si>
  <si>
    <t>4#</t>
  </si>
  <si>
    <t>ChP</t>
  </si>
  <si>
    <t>全白</t>
  </si>
  <si>
    <t>400988</t>
  </si>
  <si>
    <t>盐酸曲唑酮片/25mg/中国</t>
  </si>
  <si>
    <t>Mylan Laboratories Limited</t>
  </si>
  <si>
    <t>QS-T-F-024</t>
  </si>
  <si>
    <t>25mg</t>
  </si>
  <si>
    <t>何敏迪</t>
  </si>
  <si>
    <t>KCLQ</t>
  </si>
  <si>
    <t>400992</t>
  </si>
  <si>
    <t>盐酸曲唑酮片/50mg/中国</t>
  </si>
  <si>
    <t>预胶化淀粉</t>
  </si>
  <si>
    <t>硬脂酸镁</t>
  </si>
  <si>
    <t>硬脂富马酸钠</t>
  </si>
  <si>
    <t>产品名称</t>
    <phoneticPr fontId="2" type="noConversion"/>
  </si>
  <si>
    <t>福辛普利钠片</t>
    <phoneticPr fontId="2" type="noConversion"/>
  </si>
  <si>
    <t>厂家</t>
    <phoneticPr fontId="2" type="noConversion"/>
  </si>
  <si>
    <t>变更后代号</t>
    <phoneticPr fontId="2" type="noConversion"/>
  </si>
  <si>
    <t>道宁</t>
    <phoneticPr fontId="2" type="noConversion"/>
  </si>
  <si>
    <t>草酸US</t>
    <phoneticPr fontId="2" type="noConversion"/>
  </si>
  <si>
    <t>已变更产品</t>
    <phoneticPr fontId="2" type="noConversion"/>
  </si>
  <si>
    <t>变更前代号</t>
    <phoneticPr fontId="2" type="noConversion"/>
  </si>
  <si>
    <t>DFE</t>
  </si>
  <si>
    <t>DFE</t>
    <phoneticPr fontId="2" type="noConversion"/>
  </si>
  <si>
    <t>明台</t>
    <phoneticPr fontId="2" type="noConversion"/>
  </si>
  <si>
    <t>Colorcon (IN)</t>
  </si>
  <si>
    <t>Merck</t>
  </si>
  <si>
    <t>山河</t>
    <phoneticPr fontId="2" type="noConversion"/>
  </si>
  <si>
    <r>
      <rPr>
        <sz val="10"/>
        <rFont val="微软雅黑"/>
        <family val="2"/>
        <charset val="134"/>
      </rPr>
      <t>复方氯沙</t>
    </r>
    <r>
      <rPr>
        <sz val="10"/>
        <rFont val="Arial"/>
        <family val="2"/>
      </rPr>
      <t>CHN</t>
    </r>
    <phoneticPr fontId="2" type="noConversion"/>
  </si>
  <si>
    <t>常州JRS</t>
    <phoneticPr fontId="2" type="noConversion"/>
  </si>
  <si>
    <t>舍曲林CHN 德国JRS换常州JRS</t>
    <phoneticPr fontId="2" type="noConversion"/>
  </si>
  <si>
    <r>
      <rPr>
        <sz val="10"/>
        <rFont val="微软雅黑"/>
        <family val="2"/>
        <charset val="134"/>
      </rPr>
      <t>缬沙坦</t>
    </r>
    <r>
      <rPr>
        <sz val="10"/>
        <rFont val="Arial"/>
        <family val="2"/>
      </rPr>
      <t>US</t>
    </r>
    <phoneticPr fontId="2" type="noConversion"/>
  </si>
  <si>
    <t>Peter Greven</t>
    <phoneticPr fontId="2" type="noConversion"/>
  </si>
  <si>
    <t>微晶纤维素</t>
    <phoneticPr fontId="2" type="noConversion"/>
  </si>
  <si>
    <t>氯沙坦钾片</t>
    <phoneticPr fontId="2" type="noConversion"/>
  </si>
  <si>
    <t>杜邦</t>
    <phoneticPr fontId="2" type="noConversion"/>
  </si>
  <si>
    <t>利培酮片US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</si>
</sst>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$-F400]h:mm:ss\ AM/PM"/>
    <numFmt numFmtId="177" formatCode="#,##0.000"/>
    <numFmt numFmtId="178" formatCode="0.0_ "/>
    <numFmt numFmtId="179" formatCode="0.00_ "/>
  </numFmts>
  <fonts count="19" x14ac:knownFonts="1">
    <font>
      <sz val="10"/>
      <name val="Arial"/>
    </font>
    <font>
      <sz val="10"/>
      <name val="Arial"/>
      <family val="2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10"/>
      <name val="Arial"/>
      <family val="2"/>
    </font>
    <font>
      <b/>
      <sz val="10"/>
      <name val="宋体"/>
      <family val="3"/>
      <charset val="134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b/>
      <sz val="18"/>
      <color rgb="FFFFFFFF"/>
      <name val="微软雅黑"/>
      <family val="2"/>
      <charset val="134"/>
    </font>
    <font>
      <b/>
      <sz val="18"/>
      <color rgb="FFFFC000"/>
      <name val="微软雅黑"/>
      <family val="2"/>
      <charset val="134"/>
    </font>
    <font>
      <sz val="16"/>
      <color rgb="FF000000"/>
      <name val="微软雅黑"/>
      <family val="2"/>
      <charset val="134"/>
    </font>
    <font>
      <b/>
      <sz val="16"/>
      <color rgb="FFFFC000"/>
      <name val="微软雅黑"/>
      <family val="2"/>
      <charset val="134"/>
    </font>
    <font>
      <sz val="16"/>
      <color rgb="FFFFC000"/>
      <name val="微软雅黑"/>
      <family val="2"/>
      <charset val="134"/>
    </font>
    <font>
      <b/>
      <sz val="18"/>
      <color rgb="FF000000"/>
      <name val="微软雅黑"/>
      <family val="2"/>
      <charset val="134"/>
    </font>
    <font>
      <b/>
      <sz val="16"/>
      <color rgb="FFFF0000"/>
      <name val="微软雅黑"/>
      <family val="2"/>
      <charset val="134"/>
    </font>
    <font>
      <b/>
      <sz val="18"/>
      <color rgb="FFFF0000"/>
      <name val="微软雅黑"/>
      <family val="2"/>
      <charset val="134"/>
    </font>
    <font>
      <sz val="10"/>
      <color rgb="FFFF0000"/>
      <name val="Arial"/>
      <family val="2"/>
    </font>
    <font>
      <sz val="10"/>
      <name val="宋体"/>
      <family val="3"/>
      <charset val="134"/>
    </font>
    <font>
      <sz val="10"/>
      <name val="Arial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19680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/>
      <top/>
      <bottom style="thick">
        <color rgb="FFFFFFFF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 applyAlignment="1">
      <alignment vertical="top"/>
    </xf>
    <xf numFmtId="49" fontId="3" fillId="3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4" fillId="5" borderId="1" xfId="0" applyFont="1" applyFill="1" applyBorder="1" applyAlignment="1" applyProtection="1">
      <alignment vertical="top"/>
      <protection locked="0"/>
    </xf>
    <xf numFmtId="0" fontId="4" fillId="5" borderId="1" xfId="0" applyFont="1" applyFill="1" applyBorder="1" applyAlignment="1" applyProtection="1">
      <alignment vertical="top" wrapText="1"/>
      <protection locked="0"/>
    </xf>
    <xf numFmtId="0" fontId="4" fillId="0" borderId="0" xfId="0" applyFont="1" applyFill="1" applyAlignment="1" applyProtection="1">
      <alignment vertical="top"/>
      <protection locked="0"/>
    </xf>
    <xf numFmtId="0" fontId="0" fillId="0" borderId="0" xfId="0" applyFill="1" applyAlignment="1" applyProtection="1">
      <alignment vertical="top"/>
      <protection locked="0"/>
    </xf>
    <xf numFmtId="0" fontId="0" fillId="0" borderId="0" xfId="0" applyAlignment="1">
      <alignment horizontal="center" vertical="center" wrapText="1"/>
    </xf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 wrapText="1"/>
      <protection hidden="1"/>
    </xf>
    <xf numFmtId="0" fontId="0" fillId="0" borderId="0" xfId="0" pivotButton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5" fillId="2" borderId="0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/>
      <protection hidden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top"/>
      <protection locked="0"/>
    </xf>
    <xf numFmtId="0" fontId="0" fillId="0" borderId="1" xfId="0" pivotButton="1" applyBorder="1" applyAlignment="1">
      <alignment vertical="top"/>
    </xf>
    <xf numFmtId="0" fontId="1" fillId="0" borderId="0" xfId="0" applyFont="1" applyAlignment="1">
      <alignment vertical="top"/>
    </xf>
    <xf numFmtId="0" fontId="6" fillId="5" borderId="1" xfId="0" applyFont="1" applyFill="1" applyBorder="1" applyAlignment="1" applyProtection="1">
      <alignment vertical="top"/>
      <protection locked="0"/>
    </xf>
    <xf numFmtId="0" fontId="7" fillId="0" borderId="0" xfId="0" applyFont="1" applyFill="1" applyAlignment="1" applyProtection="1">
      <alignment vertical="top"/>
      <protection locked="0"/>
    </xf>
    <xf numFmtId="49" fontId="1" fillId="0" borderId="0" xfId="0" applyNumberFormat="1" applyFont="1" applyFill="1" applyAlignment="1" applyProtection="1">
      <alignment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0" fillId="0" borderId="0" xfId="0" pivotButton="1" applyBorder="1" applyAlignment="1" applyProtection="1">
      <alignment horizontal="center" vertical="center" wrapText="1"/>
      <protection hidden="1"/>
    </xf>
    <xf numFmtId="0" fontId="0" fillId="0" borderId="0" xfId="0" applyBorder="1" applyAlignment="1">
      <alignment horizontal="center" vertical="center" wrapText="1"/>
    </xf>
    <xf numFmtId="0" fontId="0" fillId="0" borderId="0" xfId="0" applyBorder="1" applyAlignment="1" applyProtection="1">
      <alignment horizontal="center" vertical="center" wrapText="1"/>
      <protection hidden="1"/>
    </xf>
    <xf numFmtId="0" fontId="0" fillId="0" borderId="0" xfId="0" applyBorder="1" applyAlignment="1" applyProtection="1">
      <alignment horizontal="center" vertical="center" wrapText="1"/>
      <protection locked="0"/>
    </xf>
    <xf numFmtId="0" fontId="0" fillId="0" borderId="0" xfId="0" pivotButton="1" applyBorder="1" applyAlignment="1">
      <alignment horizontal="center" vertical="center" wrapText="1"/>
    </xf>
    <xf numFmtId="0" fontId="5" fillId="4" borderId="0" xfId="0" applyFont="1" applyFill="1" applyBorder="1" applyAlignment="1" applyProtection="1">
      <alignment horizontal="center" vertical="center" wrapText="1"/>
      <protection locked="0"/>
    </xf>
    <xf numFmtId="0" fontId="0" fillId="0" borderId="0" xfId="0" applyBorder="1" applyAlignment="1">
      <alignment horizontal="center" vertical="center"/>
    </xf>
    <xf numFmtId="0" fontId="0" fillId="0" borderId="0" xfId="0" pivotButton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0" fillId="0" borderId="0" xfId="0" applyNumberFormat="1" applyBorder="1" applyAlignment="1" applyProtection="1">
      <alignment horizontal="center" vertical="center" wrapText="1"/>
      <protection locked="0"/>
    </xf>
    <xf numFmtId="0" fontId="1" fillId="6" borderId="0" xfId="0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8" fillId="7" borderId="2" xfId="0" applyFont="1" applyFill="1" applyBorder="1" applyAlignment="1">
      <alignment horizontal="center" vertical="center" wrapText="1" readingOrder="1"/>
    </xf>
    <xf numFmtId="0" fontId="8" fillId="7" borderId="3" xfId="0" applyFont="1" applyFill="1" applyBorder="1" applyAlignment="1">
      <alignment horizontal="center" vertical="center" wrapText="1" readingOrder="1"/>
    </xf>
    <xf numFmtId="0" fontId="8" fillId="7" borderId="4" xfId="0" applyFont="1" applyFill="1" applyBorder="1" applyAlignment="1">
      <alignment horizontal="center" vertical="center" wrapText="1" readingOrder="1"/>
    </xf>
    <xf numFmtId="0" fontId="9" fillId="7" borderId="2" xfId="0" applyFont="1" applyFill="1" applyBorder="1" applyAlignment="1">
      <alignment horizontal="center" vertical="center" wrapText="1" readingOrder="1"/>
    </xf>
    <xf numFmtId="0" fontId="9" fillId="7" borderId="3" xfId="0" applyFont="1" applyFill="1" applyBorder="1" applyAlignment="1">
      <alignment horizontal="center" vertical="center" wrapText="1" readingOrder="1"/>
    </xf>
    <xf numFmtId="0" fontId="9" fillId="7" borderId="4" xfId="0" applyFont="1" applyFill="1" applyBorder="1" applyAlignment="1">
      <alignment horizontal="center" vertical="center" wrapText="1" readingOrder="1"/>
    </xf>
    <xf numFmtId="0" fontId="0" fillId="7" borderId="4" xfId="0" applyFill="1" applyBorder="1" applyAlignment="1">
      <alignment horizontal="center" vertical="center" wrapText="1"/>
    </xf>
    <xf numFmtId="0" fontId="10" fillId="8" borderId="5" xfId="0" applyFont="1" applyFill="1" applyBorder="1" applyAlignment="1">
      <alignment horizontal="center" vertical="center" wrapText="1" readingOrder="1"/>
    </xf>
    <xf numFmtId="0" fontId="11" fillId="8" borderId="5" xfId="0" applyFont="1" applyFill="1" applyBorder="1" applyAlignment="1">
      <alignment horizontal="center" vertical="center" wrapText="1" readingOrder="1"/>
    </xf>
    <xf numFmtId="0" fontId="12" fillId="8" borderId="5" xfId="0" applyFont="1" applyFill="1" applyBorder="1" applyAlignment="1">
      <alignment horizontal="center" vertical="center" wrapText="1" readingOrder="1"/>
    </xf>
    <xf numFmtId="0" fontId="10" fillId="8" borderId="6" xfId="0" applyFont="1" applyFill="1" applyBorder="1" applyAlignment="1">
      <alignment horizontal="center" vertical="center" wrapText="1" readingOrder="1"/>
    </xf>
    <xf numFmtId="0" fontId="11" fillId="8" borderId="6" xfId="0" applyFont="1" applyFill="1" applyBorder="1" applyAlignment="1">
      <alignment horizontal="center" vertical="center" wrapText="1" readingOrder="1"/>
    </xf>
    <xf numFmtId="0" fontId="12" fillId="8" borderId="6" xfId="0" applyFont="1" applyFill="1" applyBorder="1" applyAlignment="1">
      <alignment horizontal="center" vertical="center" wrapText="1" readingOrder="1"/>
    </xf>
    <xf numFmtId="0" fontId="9" fillId="9" borderId="6" xfId="0" applyFont="1" applyFill="1" applyBorder="1" applyAlignment="1">
      <alignment horizontal="center" vertical="center" wrapText="1" readingOrder="1"/>
    </xf>
    <xf numFmtId="178" fontId="12" fillId="8" borderId="5" xfId="0" applyNumberFormat="1" applyFont="1" applyFill="1" applyBorder="1" applyAlignment="1">
      <alignment horizontal="center" vertical="center" wrapText="1" readingOrder="1"/>
    </xf>
    <xf numFmtId="178" fontId="9" fillId="9" borderId="6" xfId="0" applyNumberFormat="1" applyFont="1" applyFill="1" applyBorder="1" applyAlignment="1">
      <alignment horizontal="center" vertical="center" wrapText="1" readingOrder="1"/>
    </xf>
    <xf numFmtId="0" fontId="12" fillId="3" borderId="6" xfId="0" applyFont="1" applyFill="1" applyBorder="1" applyAlignment="1">
      <alignment horizontal="center" vertical="center" wrapText="1" readingOrder="1"/>
    </xf>
    <xf numFmtId="178" fontId="12" fillId="3" borderId="5" xfId="0" applyNumberFormat="1" applyFont="1" applyFill="1" applyBorder="1" applyAlignment="1">
      <alignment horizontal="center" vertical="center" wrapText="1" readingOrder="1"/>
    </xf>
    <xf numFmtId="178" fontId="14" fillId="8" borderId="5" xfId="0" applyNumberFormat="1" applyFont="1" applyFill="1" applyBorder="1" applyAlignment="1">
      <alignment horizontal="center" vertical="center" wrapText="1" readingOrder="1"/>
    </xf>
    <xf numFmtId="178" fontId="15" fillId="9" borderId="6" xfId="0" applyNumberFormat="1" applyFont="1" applyFill="1" applyBorder="1" applyAlignment="1">
      <alignment horizontal="center" vertical="center" wrapText="1" readingOrder="1"/>
    </xf>
    <xf numFmtId="0" fontId="1" fillId="11" borderId="1" xfId="0" applyFont="1" applyFill="1" applyBorder="1" applyAlignment="1">
      <alignment vertical="top"/>
    </xf>
    <xf numFmtId="0" fontId="16" fillId="10" borderId="1" xfId="0" applyFont="1" applyFill="1" applyBorder="1" applyAlignment="1">
      <alignment vertical="top"/>
    </xf>
    <xf numFmtId="0" fontId="16" fillId="10" borderId="1" xfId="0" applyFont="1" applyFill="1" applyBorder="1" applyAlignment="1">
      <alignment horizontal="center" vertical="center"/>
    </xf>
    <xf numFmtId="3" fontId="16" fillId="10" borderId="1" xfId="0" applyNumberFormat="1" applyFont="1" applyFill="1" applyBorder="1" applyAlignment="1">
      <alignment horizontal="center" vertical="center"/>
    </xf>
    <xf numFmtId="14" fontId="16" fillId="10" borderId="1" xfId="0" applyNumberFormat="1" applyFont="1" applyFill="1" applyBorder="1" applyAlignment="1">
      <alignment horizontal="right" vertical="top"/>
    </xf>
    <xf numFmtId="0" fontId="1" fillId="10" borderId="1" xfId="0" applyFont="1" applyFill="1" applyBorder="1" applyAlignment="1">
      <alignment vertical="top"/>
    </xf>
    <xf numFmtId="0" fontId="1" fillId="10" borderId="1" xfId="0" applyFont="1" applyFill="1" applyBorder="1" applyAlignment="1">
      <alignment horizontal="center" vertical="center"/>
    </xf>
    <xf numFmtId="3" fontId="1" fillId="10" borderId="1" xfId="0" applyNumberFormat="1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right" vertical="top"/>
    </xf>
    <xf numFmtId="49" fontId="1" fillId="11" borderId="1" xfId="0" applyNumberFormat="1" applyFont="1" applyFill="1" applyBorder="1" applyAlignment="1">
      <alignment vertical="top"/>
    </xf>
    <xf numFmtId="49" fontId="0" fillId="0" borderId="0" xfId="0" applyNumberFormat="1" applyAlignment="1">
      <alignment vertical="top"/>
    </xf>
    <xf numFmtId="49" fontId="16" fillId="10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top"/>
    </xf>
    <xf numFmtId="0" fontId="16" fillId="0" borderId="0" xfId="0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3" fontId="0" fillId="0" borderId="0" xfId="0" applyNumberFormat="1" applyAlignment="1">
      <alignment vertical="top"/>
    </xf>
    <xf numFmtId="179" fontId="0" fillId="0" borderId="0" xfId="0" applyNumberFormat="1" applyAlignment="1">
      <alignment vertical="top"/>
    </xf>
    <xf numFmtId="179" fontId="0" fillId="3" borderId="0" xfId="0" applyNumberFormat="1" applyFill="1" applyAlignment="1">
      <alignment vertical="top"/>
    </xf>
    <xf numFmtId="4" fontId="0" fillId="0" borderId="0" xfId="0" applyNumberFormat="1" applyAlignment="1">
      <alignment vertical="top"/>
    </xf>
    <xf numFmtId="0" fontId="17" fillId="0" borderId="0" xfId="0" applyFont="1" applyAlignment="1">
      <alignment vertical="top"/>
    </xf>
    <xf numFmtId="177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177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8" fillId="7" borderId="2" xfId="0" applyFont="1" applyFill="1" applyBorder="1" applyAlignment="1">
      <alignment horizontal="center" vertical="center" wrapText="1" readingOrder="1"/>
    </xf>
    <xf numFmtId="0" fontId="8" fillId="7" borderId="3" xfId="0" applyFont="1" applyFill="1" applyBorder="1" applyAlignment="1">
      <alignment horizontal="center" vertical="center" wrapText="1" readingOrder="1"/>
    </xf>
    <xf numFmtId="0" fontId="8" fillId="7" borderId="4" xfId="0" applyFont="1" applyFill="1" applyBorder="1" applyAlignment="1">
      <alignment horizontal="center" vertical="center" wrapText="1" readingOrder="1"/>
    </xf>
    <xf numFmtId="0" fontId="13" fillId="9" borderId="7" xfId="0" applyFont="1" applyFill="1" applyBorder="1" applyAlignment="1">
      <alignment horizontal="center" vertical="center" wrapText="1" readingOrder="1"/>
    </xf>
    <xf numFmtId="0" fontId="13" fillId="9" borderId="8" xfId="0" applyFont="1" applyFill="1" applyBorder="1" applyAlignment="1">
      <alignment horizontal="center" vertical="center" wrapText="1" readingOrder="1"/>
    </xf>
    <xf numFmtId="0" fontId="13" fillId="9" borderId="9" xfId="0" applyFont="1" applyFill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</cellXfs>
  <cellStyles count="2">
    <cellStyle name="?痃%S&amp;F?_x0008_?o_x0006__x0007__x0001__x0001_" xfId="1" xr:uid="{66A4295A-48E8-47F8-B28E-6011E9A62073}"/>
    <cellStyle name="常规" xfId="0" builtinId="0"/>
  </cellStyles>
  <dxfs count="630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protection locked="0"/>
    </dxf>
    <dxf>
      <alignment vertical="center"/>
    </dxf>
    <dxf>
      <alignment vertical="center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alignment vertical="top"/>
      <protection locked="1" hidden="0"/>
    </dxf>
    <dxf>
      <protection locked="0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protection locked="0"/>
    </dxf>
    <dxf>
      <protection locked="0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protection locked="0"/>
    </dxf>
    <dxf>
      <protection locked="0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protection hidden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A67-40D2-9591-67EF763EF3D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A67-40D2-9591-67EF763EF3D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A67-40D2-9591-67EF763EF3D3}"/>
              </c:ext>
            </c:extLst>
          </c:dPt>
          <c:cat>
            <c:strRef>
              <c:f>Sheet1!$A$3:$A$5</c:f>
              <c:strCache>
                <c:ptCount val="3"/>
                <c:pt idx="0">
                  <c:v>API</c:v>
                </c:pt>
                <c:pt idx="1">
                  <c:v>辅料</c:v>
                </c:pt>
                <c:pt idx="2">
                  <c:v>包材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3"/>
                <c:pt idx="0">
                  <c:v>100343</c:v>
                </c:pt>
                <c:pt idx="1">
                  <c:v>11965</c:v>
                </c:pt>
                <c:pt idx="2">
                  <c:v>20212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8F-4819-A45A-4802EB098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4</xdr:row>
      <xdr:rowOff>66675</xdr:rowOff>
    </xdr:from>
    <xdr:to>
      <xdr:col>14</xdr:col>
      <xdr:colOff>28575</xdr:colOff>
      <xdr:row>21</xdr:row>
      <xdr:rowOff>9525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F7730D3-E6B6-4C27-A2F5-84BB80DF4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用户" refreshedDate="45293.407204861112" createdVersion="6" refreshedVersion="6" minRefreshableVersion="3" recordCount="1007" xr:uid="{FD588888-70C2-467F-8F6A-023F861E6BB7}">
  <cacheSource type="worksheet">
    <worksheetSource ref="A1:BM1048576" sheet="表1（IT界面）"/>
  </cacheSource>
  <cacheFields count="65">
    <cacheField name="物料开头" numFmtId="0">
      <sharedItems containsBlank="1" containsMixedTypes="1" containsNumber="1" containsInteger="1" minValue="61" maxValue="71" count="14">
        <s v="64"/>
        <s v="61"/>
        <s v="0"/>
        <m/>
        <n v="61"/>
        <n v="62"/>
        <n v="63"/>
        <n v="64"/>
        <n v="65"/>
        <n v="71"/>
        <s v="62"/>
        <s v="63"/>
        <s v="65"/>
        <s v="71"/>
      </sharedItems>
    </cacheField>
    <cacheField name="是否维护" numFmtId="0">
      <sharedItems containsBlank="1" count="3">
        <s v="是"/>
        <m/>
        <s v="否" u="1"/>
      </sharedItems>
    </cacheField>
    <cacheField name="工厂" numFmtId="0">
      <sharedItems containsBlank="1"/>
    </cacheField>
    <cacheField name="跨工厂物料状态" numFmtId="0">
      <sharedItems containsBlank="1"/>
    </cacheField>
    <cacheField name="MS" numFmtId="0">
      <sharedItems containsBlank="1"/>
    </cacheField>
    <cacheField name="在工厂级别将物料标记为删除" numFmtId="0">
      <sharedItems containsBlank="1"/>
    </cacheField>
    <cacheField name="物料" numFmtId="0">
      <sharedItems containsBlank="1" containsMixedTypes="1" containsNumber="1" containsInteger="1" minValue="101296" maxValue="1000001" count="26">
        <s v="400976"/>
        <s v="400979"/>
        <s v="400983"/>
        <s v="400985"/>
        <s v="101903"/>
        <s v="400988"/>
        <s v="400992"/>
        <m/>
        <n v="101296" u="1"/>
        <n v="101301" u="1"/>
        <n v="500001" u="1"/>
        <n v="101297" u="1"/>
        <n v="203059" u="1"/>
        <n v="400693" u="1"/>
        <n v="101302" u="1"/>
        <n v="101298" u="1"/>
        <n v="501463" u="1"/>
        <n v="300001" u="1"/>
        <n v="101303" u="1"/>
        <n v="501464" u="1"/>
        <n v="501465" u="1"/>
        <n v="101299" u="1"/>
        <n v="501466" u="1"/>
        <n v="501467" u="1"/>
        <n v="1000001" u="1"/>
        <n v="101300" u="1"/>
      </sharedItems>
    </cacheField>
    <cacheField name="BMR" numFmtId="0">
      <sharedItems containsBlank="1" count="2">
        <s v="X"/>
        <m/>
      </sharedItems>
    </cacheField>
    <cacheField name="物料描述" numFmtId="0">
      <sharedItems containsBlank="1" count="15">
        <s v="盐酸米诺环素胶囊/50mg/中国"/>
        <s v="利奥西呱片/0.5mg/中国"/>
        <s v="利奥西呱片/1mg/中国"/>
        <s v="利奥西呱片/2.5mg/中国"/>
        <s v="明胶空心胶囊/4#/ChP"/>
        <s v="盐酸曲唑酮片/25mg/中国"/>
        <s v="盐酸曲唑酮片/50mg/中国"/>
        <m/>
        <s v="富马酸喹硫平缓释片/200mg/60片/瓶/中国" u="1"/>
        <s v="替米沙坦/——/CEP" u="1"/>
        <s v="莫那匹韦胶囊/0.2g/40粒/瓶/中国" u="1"/>
        <s v="富马酸喹硫平缓释片/50mg/60片/瓶/中国" u="1"/>
        <s v="喹硫平片混颗粒/混颗粒/美国" u="1"/>
        <s v="依非韦伦片/600mg/30片/瓶×1瓶/盒/中国" u="1"/>
        <s v="坎地沙坦酯片说明书/展开尺寸：520×360mm 折叠尺寸：130×120mm" u="1"/>
      </sharedItems>
    </cacheField>
    <cacheField name="生产厂商" numFmtId="0">
      <sharedItems containsBlank="1" count="12">
        <s v="浙江昌海制药有限公司"/>
        <s v="江苏天晟药业股份有限公司"/>
        <s v=""/>
        <s v="绍兴康可胶囊有限公司"/>
        <s v="Mylan Laboratories Limited"/>
        <m/>
        <s v="1）台州印刷厂（有限公司）2）苏州科士达印务有限公司3）天津市泽阳印务有限公司" u="1"/>
        <s v="浙江华海药业股份有限公司（汛桥分厂）" u="1"/>
        <s v="自己打印" u="1"/>
        <s v="Shanghai Desano Chemical Pharmaceutical Co.,Ltd." u="1"/>
        <s v="浙江华海药业股份有限公司（川南分厂）" u="1"/>
        <s v="打印" u="1"/>
      </sharedItems>
    </cacheField>
    <cacheField name="已创建" numFmtId="0">
      <sharedItems containsNonDate="0" containsDate="1" containsString="0" containsBlank="1" minDate="2023-12-25T00:00:00" maxDate="2024-01-03T00:00:00"/>
    </cacheField>
    <cacheField name="创建时间" numFmtId="0">
      <sharedItems containsNonDate="0" containsDate="1" containsString="0" containsBlank="1" minDate="1899-12-30T01:00:09" maxDate="1899-12-30T06:19:35"/>
    </cacheField>
    <cacheField name="备注2" numFmtId="0">
      <sharedItems containsBlank="1" count="4">
        <s v="研发"/>
        <s v="项目"/>
        <m/>
        <s v="商业化" u="1"/>
      </sharedItems>
    </cacheField>
    <cacheField name="创建者" numFmtId="0">
      <sharedItems containsBlank="1"/>
    </cacheField>
    <cacheField name="MTyp" numFmtId="0">
      <sharedItems containsBlank="1"/>
    </cacheField>
    <cacheField name="物料类型" numFmtId="0">
      <sharedItems containsBlank="1"/>
    </cacheField>
    <cacheField name="物料组" numFmtId="0">
      <sharedItems containsBlank="1"/>
    </cacheField>
    <cacheField name="物料组2" numFmtId="0">
      <sharedItems containsBlank="1"/>
    </cacheField>
    <cacheField name="基本计量单位" numFmtId="0">
      <sharedItems containsBlank="1" count="7">
        <s v="粒"/>
        <s v="片"/>
        <s v="千粒"/>
        <m/>
        <s v="千克" u="1"/>
        <s v="瓶" u="1"/>
        <s v="张" u="1"/>
      </sharedItems>
    </cacheField>
    <cacheField name="行业标准描述" numFmtId="0">
      <sharedItems containsBlank="1"/>
    </cacheField>
    <cacheField name="大小/量纲" numFmtId="0">
      <sharedItems containsBlank="1"/>
    </cacheField>
    <cacheField name="片型" numFmtId="0">
      <sharedItems containsBlank="1"/>
    </cacheField>
    <cacheField name="包装形式" numFmtId="0">
      <sharedItems containsBlank="1"/>
    </cacheField>
    <cacheField name="包装规格" numFmtId="0">
      <sharedItems containsBlank="1"/>
    </cacheField>
    <cacheField name="毛重" numFmtId="0">
      <sharedItems containsString="0" containsBlank="1" containsNumber="1" containsInteger="1" minValue="0" maxValue="0"/>
    </cacheField>
    <cacheField name="WUn" numFmtId="0">
      <sharedItems containsBlank="1"/>
    </cacheField>
    <cacheField name="净重" numFmtId="0">
      <sharedItems containsString="0" containsBlank="1" containsNumber="1" containsInteger="1" minValue="0" maxValue="0"/>
    </cacheField>
    <cacheField name="WUn2" numFmtId="0">
      <sharedItems containsBlank="1"/>
    </cacheField>
    <cacheField name="SC" numFmtId="0">
      <sharedItems containsBlank="1"/>
    </cacheField>
    <cacheField name="存储条件" numFmtId="0">
      <sharedItems containsBlank="1"/>
    </cacheField>
    <cacheField name="SLife" numFmtId="0">
      <sharedItems containsString="0" containsBlank="1" containsNumber="1" containsInteger="1" minValue="0" maxValue="0"/>
    </cacheField>
    <cacheField name="RShLi" numFmtId="0">
      <sharedItems containsString="0" containsBlank="1" containsNumber="1" containsInteger="1" minValue="0" maxValue="0"/>
    </cacheField>
    <cacheField name="期间标识" numFmtId="0">
      <sharedItems containsBlank="1"/>
    </cacheField>
    <cacheField name="货架存放期过期日期的期间标识" numFmtId="0">
      <sharedItems containsBlank="1"/>
    </cacheField>
    <cacheField name="市场" numFmtId="0">
      <sharedItems containsBlank="1" count="5">
        <s v="中国"/>
        <s v=""/>
        <m/>
        <s v="欧洲" u="1"/>
        <s v="美国" u="1"/>
      </sharedItems>
    </cacheField>
    <cacheField name="外部物料组" numFmtId="0">
      <sharedItems containsBlank="1"/>
    </cacheField>
    <cacheField name="外部物料组2" numFmtId="0">
      <sharedItems containsBlank="1"/>
    </cacheField>
    <cacheField name="NDC国家药品监管码" numFmtId="0">
      <sharedItems containsBlank="1"/>
    </cacheField>
    <cacheField name="ANDA代码" numFmtId="0">
      <sharedItems containsBlank="1"/>
    </cacheField>
    <cacheField name="标准托的数量" numFmtId="0">
      <sharedItems containsBlank="1"/>
    </cacheField>
    <cacheField name="参考标准" numFmtId="0">
      <sharedItems containsBlank="1"/>
    </cacheField>
    <cacheField name="货号" numFmtId="0">
      <sharedItems containsBlank="1"/>
    </cacheField>
    <cacheField name="中包装规格" numFmtId="0">
      <sharedItems containsBlank="1"/>
    </cacheField>
    <cacheField name="中包装规格单位" numFmtId="0">
      <sharedItems containsBlank="1"/>
    </cacheField>
    <cacheField name="最大包装规格" numFmtId="0">
      <sharedItems containsBlank="1"/>
    </cacheField>
    <cacheField name="最大包装规格单位" numFmtId="0">
      <sharedItems containsBlank="1"/>
    </cacheField>
    <cacheField name="最小包装规格" numFmtId="0">
      <sharedItems containsBlank="1"/>
    </cacheField>
    <cacheField name="最小包装规格单位" numFmtId="0">
      <sharedItems containsBlank="1"/>
    </cacheField>
    <cacheField name="舍入规则" numFmtId="0">
      <sharedItems containsBlank="1"/>
    </cacheField>
    <cacheField name="利润中心" numFmtId="0">
      <sharedItems containsBlank="1"/>
    </cacheField>
    <cacheField name="备注1" numFmtId="0">
      <sharedItems containsBlank="1" count="10">
        <s v="李文静"/>
        <s v="蒋智豪"/>
        <s v="何敏迪"/>
        <m/>
        <s v="朱海芬" u="1"/>
        <s v="王颖" u="1"/>
        <s v="左雨典" u="1"/>
        <s v="王璐雨" u="1"/>
        <s v="羊景根" u="1"/>
        <s v="吴悦" u="1"/>
      </sharedItems>
    </cacheField>
    <cacheField name="备注3" numFmtId="0">
      <sharedItems containsBlank="1"/>
    </cacheField>
    <cacheField name="备注4" numFmtId="0">
      <sharedItems containsBlank="1"/>
    </cacheField>
    <cacheField name="备注5" numFmtId="0">
      <sharedItems containsBlank="1"/>
    </cacheField>
    <cacheField name="基本视图K" numFmtId="0">
      <sharedItems containsBlank="1"/>
    </cacheField>
    <cacheField name="分类视图C" numFmtId="0">
      <sharedItems containsBlank="1"/>
    </cacheField>
    <cacheField name="仓储视图L" numFmtId="0">
      <sharedItems containsBlank="1"/>
    </cacheField>
    <cacheField name="成本视图G" numFmtId="0">
      <sharedItems containsBlank="1"/>
    </cacheField>
    <cacheField name="会计视图B" numFmtId="0">
      <sharedItems containsBlank="1"/>
    </cacheField>
    <cacheField name="采购视图E" numFmtId="0">
      <sharedItems containsBlank="1"/>
    </cacheField>
    <cacheField name="质量视图Q" numFmtId="0">
      <sharedItems containsBlank="1"/>
    </cacheField>
    <cacheField name="MRP视图D" numFmtId="0">
      <sharedItems containsBlank="1"/>
    </cacheField>
    <cacheField name="销售视图V" numFmtId="0">
      <sharedItems containsBlank="1"/>
    </cacheField>
    <cacheField name="工作视图A" numFmtId="0">
      <sharedItems containsBlank="1"/>
    </cacheField>
    <cacheField name="维护状态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7">
  <r>
    <x v="0"/>
    <x v="0"/>
    <s v="5300"/>
    <s v="02"/>
    <s v=""/>
    <s v="否"/>
    <x v="0"/>
    <x v="0"/>
    <x v="0"/>
    <x v="0"/>
    <d v="2023-12-25T00:00:00"/>
    <d v="1899-12-30T01:33:49"/>
    <x v="0"/>
    <s v="ZHENGX"/>
    <s v="Z003"/>
    <s v="华海半成品"/>
    <s v="310104"/>
    <s v="制剂非无菌中间产品-胶囊"/>
    <x v="0"/>
    <s v="QS-T-F-023"/>
    <s v="50mg"/>
    <s v="胶囊"/>
    <s v=""/>
    <s v=""/>
    <n v="0"/>
    <s v=""/>
    <n v="0"/>
    <s v=""/>
    <s v=""/>
    <s v=""/>
    <n v="0"/>
    <n v="0"/>
    <s v="D"/>
    <s v="天"/>
    <x v="0"/>
    <s v=""/>
    <s v=""/>
    <s v=""/>
    <s v=""/>
    <s v=""/>
    <s v=""/>
    <s v=""/>
    <s v=""/>
    <s v=""/>
    <s v=""/>
    <s v=""/>
    <s v=""/>
    <s v=""/>
    <s v=""/>
    <s v=""/>
    <x v="0"/>
    <s v=""/>
    <s v=""/>
    <s v="NA"/>
    <s v="X"/>
    <s v="X"/>
    <s v="X"/>
    <s v=""/>
    <s v=""/>
    <s v="X"/>
    <s v="X"/>
    <s v=""/>
    <s v=""/>
    <s v=""/>
    <s v="KCELQ"/>
  </r>
  <r>
    <x v="0"/>
    <x v="0"/>
    <s v="5300"/>
    <s v="02"/>
    <s v=""/>
    <s v="否"/>
    <x v="1"/>
    <x v="0"/>
    <x v="1"/>
    <x v="1"/>
    <d v="2023-12-25T00:00:00"/>
    <d v="1899-12-30T02:33:20"/>
    <x v="0"/>
    <s v="ZHENGX"/>
    <s v="Z003"/>
    <s v="华海半成品"/>
    <s v="310103"/>
    <s v="制剂非无菌中间产品-片子"/>
    <x v="1"/>
    <s v="QS-T-F-022"/>
    <s v="0.5mg"/>
    <s v="圆形"/>
    <s v=""/>
    <s v=""/>
    <n v="0"/>
    <s v=""/>
    <n v="0"/>
    <s v=""/>
    <s v=""/>
    <s v=""/>
    <n v="0"/>
    <n v="0"/>
    <s v="D"/>
    <s v="天"/>
    <x v="0"/>
    <s v=""/>
    <s v=""/>
    <s v=""/>
    <s v=""/>
    <s v=""/>
    <s v=""/>
    <s v=""/>
    <s v=""/>
    <s v=""/>
    <s v=""/>
    <s v=""/>
    <s v=""/>
    <s v=""/>
    <s v=""/>
    <s v=""/>
    <x v="1"/>
    <s v=""/>
    <s v=""/>
    <s v="NA"/>
    <s v="X"/>
    <s v="X"/>
    <s v="X"/>
    <s v=""/>
    <s v=""/>
    <s v="X"/>
    <s v="X"/>
    <s v=""/>
    <s v=""/>
    <s v=""/>
    <s v="KCELQ"/>
  </r>
  <r>
    <x v="0"/>
    <x v="0"/>
    <s v="5300"/>
    <s v="02"/>
    <s v=""/>
    <s v="否"/>
    <x v="2"/>
    <x v="0"/>
    <x v="2"/>
    <x v="2"/>
    <d v="2023-12-25T00:00:00"/>
    <d v="1899-12-30T02:43:29"/>
    <x v="0"/>
    <s v="ZHENGX"/>
    <s v="Z003"/>
    <s v="华海半成品"/>
    <s v="310103"/>
    <s v="制剂非无菌中间产品-片子"/>
    <x v="1"/>
    <s v="QS-T-F-022"/>
    <s v="1mg"/>
    <s v="圆形"/>
    <s v=""/>
    <s v=""/>
    <n v="0"/>
    <s v=""/>
    <n v="0"/>
    <s v=""/>
    <s v=""/>
    <s v=""/>
    <n v="0"/>
    <n v="0"/>
    <s v="D"/>
    <s v="天"/>
    <x v="1"/>
    <s v=""/>
    <s v=""/>
    <s v=""/>
    <s v=""/>
    <s v=""/>
    <s v=""/>
    <s v=""/>
    <s v=""/>
    <s v=""/>
    <s v=""/>
    <s v=""/>
    <s v=""/>
    <s v=""/>
    <s v=""/>
    <s v=""/>
    <x v="1"/>
    <s v=""/>
    <s v=""/>
    <s v="NA"/>
    <s v="X"/>
    <s v="X"/>
    <s v="X"/>
    <s v=""/>
    <s v=""/>
    <s v="X"/>
    <s v="X"/>
    <s v=""/>
    <s v=""/>
    <s v=""/>
    <s v="KCELQ"/>
  </r>
  <r>
    <x v="0"/>
    <x v="0"/>
    <s v="5300"/>
    <s v="02"/>
    <s v=""/>
    <s v="否"/>
    <x v="3"/>
    <x v="0"/>
    <x v="3"/>
    <x v="1"/>
    <d v="2023-12-25T00:00:00"/>
    <d v="1899-12-30T02:48:45"/>
    <x v="0"/>
    <s v="ZHENGX"/>
    <s v="Z003"/>
    <s v="华海半成品"/>
    <s v="310103"/>
    <s v="制剂非无菌中间产品-片子"/>
    <x v="1"/>
    <s v="QS-T-F-022"/>
    <s v="2.5mg"/>
    <s v="圆形"/>
    <s v=""/>
    <s v=""/>
    <n v="0"/>
    <s v=""/>
    <n v="0"/>
    <s v=""/>
    <s v=""/>
    <s v=""/>
    <n v="0"/>
    <n v="0"/>
    <s v="D"/>
    <s v="天"/>
    <x v="1"/>
    <s v=""/>
    <s v=""/>
    <s v=""/>
    <s v=""/>
    <s v=""/>
    <s v=""/>
    <s v=""/>
    <s v=""/>
    <s v=""/>
    <s v=""/>
    <s v=""/>
    <s v=""/>
    <s v=""/>
    <s v=""/>
    <s v=""/>
    <x v="1"/>
    <s v=""/>
    <s v=""/>
    <s v="NA"/>
    <s v="X"/>
    <s v="X"/>
    <s v="X"/>
    <s v=""/>
    <s v=""/>
    <s v="X"/>
    <s v="X"/>
    <s v=""/>
    <s v=""/>
    <s v=""/>
    <s v="KCELQ"/>
  </r>
  <r>
    <x v="1"/>
    <x v="0"/>
    <s v="5300"/>
    <s v="01"/>
    <s v=""/>
    <s v="否"/>
    <x v="4"/>
    <x v="0"/>
    <x v="4"/>
    <x v="3"/>
    <d v="2023-12-25T00:00:00"/>
    <d v="1899-12-30T06:19:35"/>
    <x v="1"/>
    <s v="ZHENGX"/>
    <s v="Z001"/>
    <s v="华海原辅料"/>
    <s v="120101"/>
    <s v="固体辅料-一般"/>
    <x v="2"/>
    <s v="QS-T-E-033"/>
    <s v="4#"/>
    <s v=""/>
    <s v=""/>
    <s v=""/>
    <n v="0"/>
    <s v=""/>
    <n v="0"/>
    <s v=""/>
    <s v=""/>
    <s v=""/>
    <n v="0"/>
    <n v="0"/>
    <s v="D"/>
    <s v="天"/>
    <x v="0"/>
    <s v=""/>
    <s v=""/>
    <s v="ChP"/>
    <s v=""/>
    <s v=""/>
    <s v=""/>
    <s v=""/>
    <s v=""/>
    <s v=""/>
    <s v=""/>
    <s v=""/>
    <s v=""/>
    <s v=""/>
    <s v=""/>
    <s v=""/>
    <x v="0"/>
    <s v=""/>
    <s v=""/>
    <s v="全白"/>
    <s v="X"/>
    <s v="X"/>
    <s v="X"/>
    <s v=""/>
    <s v=""/>
    <s v="X"/>
    <s v="X"/>
    <s v=""/>
    <s v=""/>
    <s v=""/>
    <s v="KCELQ"/>
  </r>
  <r>
    <x v="0"/>
    <x v="0"/>
    <s v="5300"/>
    <s v="02"/>
    <s v=""/>
    <s v="否"/>
    <x v="5"/>
    <x v="0"/>
    <x v="5"/>
    <x v="4"/>
    <d v="2024-01-02T00:00:00"/>
    <d v="1899-12-30T01:00:09"/>
    <x v="0"/>
    <s v="ZHENGX"/>
    <s v="Z003"/>
    <s v="华海半成品"/>
    <s v="310103"/>
    <s v="制剂非无菌中间产品-片子"/>
    <x v="1"/>
    <s v="QS-T-F-024"/>
    <s v="25mg"/>
    <s v="圆形"/>
    <s v=""/>
    <s v=""/>
    <n v="0"/>
    <s v=""/>
    <n v="0"/>
    <s v=""/>
    <s v=""/>
    <s v=""/>
    <n v="0"/>
    <n v="0"/>
    <s v="D"/>
    <s v="天"/>
    <x v="0"/>
    <s v=""/>
    <s v=""/>
    <s v=""/>
    <s v=""/>
    <s v=""/>
    <s v=""/>
    <s v=""/>
    <s v=""/>
    <s v=""/>
    <s v=""/>
    <s v=""/>
    <s v=""/>
    <s v=""/>
    <s v=""/>
    <s v=""/>
    <x v="2"/>
    <s v=""/>
    <s v=""/>
    <s v="NA"/>
    <s v="X"/>
    <s v="X"/>
    <s v="X"/>
    <s v=""/>
    <s v=""/>
    <s v=""/>
    <s v="X"/>
    <s v=""/>
    <s v=""/>
    <s v=""/>
    <s v="KCLQ"/>
  </r>
  <r>
    <x v="0"/>
    <x v="0"/>
    <s v="5300"/>
    <s v="02"/>
    <s v=""/>
    <s v="否"/>
    <x v="6"/>
    <x v="0"/>
    <x v="6"/>
    <x v="2"/>
    <d v="2024-01-02T00:00:00"/>
    <d v="1899-12-30T01:07:20"/>
    <x v="0"/>
    <s v="ZHENGX"/>
    <s v="Z003"/>
    <s v="华海半成品"/>
    <s v="310103"/>
    <s v="制剂非无菌中间产品-片子"/>
    <x v="1"/>
    <s v="QS-T-F-024"/>
    <s v="50mg"/>
    <s v="圆形"/>
    <s v=""/>
    <s v=""/>
    <n v="0"/>
    <s v=""/>
    <n v="0"/>
    <s v=""/>
    <s v=""/>
    <s v=""/>
    <n v="0"/>
    <n v="0"/>
    <s v="D"/>
    <s v="天"/>
    <x v="1"/>
    <s v=""/>
    <s v=""/>
    <s v=""/>
    <s v=""/>
    <s v=""/>
    <s v=""/>
    <s v=""/>
    <s v=""/>
    <s v=""/>
    <s v=""/>
    <s v=""/>
    <s v=""/>
    <s v=""/>
    <s v=""/>
    <s v=""/>
    <x v="2"/>
    <s v=""/>
    <s v=""/>
    <s v="NA"/>
    <s v="X"/>
    <s v="X"/>
    <s v="X"/>
    <s v=""/>
    <s v=""/>
    <s v=""/>
    <s v="X"/>
    <s v=""/>
    <s v=""/>
    <s v=""/>
    <s v="KCLQ"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2"/>
    <x v="0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3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4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5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6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7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8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9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3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1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10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11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0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12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13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  <r>
    <x v="3"/>
    <x v="1"/>
    <m/>
    <m/>
    <m/>
    <m/>
    <x v="7"/>
    <x v="1"/>
    <x v="7"/>
    <x v="5"/>
    <m/>
    <m/>
    <x v="2"/>
    <m/>
    <m/>
    <m/>
    <m/>
    <m/>
    <x v="3"/>
    <m/>
    <m/>
    <m/>
    <m/>
    <m/>
    <m/>
    <m/>
    <m/>
    <m/>
    <m/>
    <m/>
    <m/>
    <m/>
    <m/>
    <m/>
    <x v="2"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17405D-0B35-4B50-8678-F86098DACB52}" name="数据透视表1" cacheId="0" applyNumberFormats="0" applyBorderFormats="0" applyFontFormats="0" applyPatternFormats="0" applyAlignmentFormats="0" applyWidthHeightFormats="1" dataCaption="值" updatedVersion="6" minRefreshableVersion="3" useAutoFormatting="1" rowGrandTotals="0" itemPrintTitles="1" createdVersion="6" indent="0" compact="0" compactData="0" gridDropZones="1" multipleFieldFilters="0">
  <location ref="A4:I6" firstHeaderRow="2" firstDataRow="2" firstDataCol="8" rowPageCount="1" colPageCount="1"/>
  <pivotFields count="65">
    <pivotField axis="axisPage" compact="0" outline="0" multipleItemSelectionAllowed="1" showAll="0">
      <items count="15">
        <item h="1" x="2"/>
        <item x="1"/>
        <item x="10"/>
        <item h="1" x="0"/>
        <item h="1" x="3"/>
        <item x="4"/>
        <item x="5"/>
        <item x="6"/>
        <item h="1" x="7"/>
        <item x="8"/>
        <item x="12"/>
        <item x="11"/>
        <item h="1" x="9"/>
        <item h="1" x="1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26">
        <item m="1" x="8"/>
        <item m="1" x="11"/>
        <item m="1" x="15"/>
        <item m="1" x="21"/>
        <item m="1" x="25"/>
        <item m="1" x="9"/>
        <item m="1" x="14"/>
        <item m="1" x="18"/>
        <item m="1" x="12"/>
        <item m="1" x="17"/>
        <item m="1" x="13"/>
        <item m="1" x="10"/>
        <item m="1" x="16"/>
        <item m="1" x="19"/>
        <item m="1" x="20"/>
        <item m="1" x="22"/>
        <item m="1" x="23"/>
        <item m="1" x="24"/>
        <item x="4"/>
        <item x="0"/>
        <item x="1"/>
        <item x="2"/>
        <item x="3"/>
        <item x="5"/>
        <item x="6"/>
        <item x="7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5">
        <item m="1" x="14"/>
        <item m="1" x="12"/>
        <item m="1" x="9"/>
        <item x="7"/>
        <item m="1" x="11"/>
        <item m="1" x="8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m="1" x="6"/>
        <item m="1" x="10"/>
        <item m="1" x="7"/>
        <item x="5"/>
        <item m="1" x="11"/>
        <item m="1" x="8"/>
        <item m="1" x="9"/>
        <item x="0"/>
        <item x="1"/>
        <item x="2"/>
        <item x="3"/>
        <item x="4"/>
      </items>
    </pivotField>
    <pivotField compact="0" outline="0" showAll="0"/>
    <pivotField compact="0" outline="0" showAll="0"/>
    <pivotField axis="axisRow" compact="0" outline="0" showAll="0" defaultSubtotal="0">
      <items count="4">
        <item m="1" x="3"/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m="1" x="4"/>
        <item m="1" x="6"/>
        <item x="3"/>
        <item m="1" x="5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m="1" x="4"/>
        <item m="1" x="3"/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">
        <item m="1" x="5"/>
        <item m="1" x="4"/>
        <item m="1" x="6"/>
        <item x="3"/>
        <item m="1" x="9"/>
        <item m="1" x="7"/>
        <item m="1" x="8"/>
        <item x="0"/>
        <item x="1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8">
    <field x="6"/>
    <field x="7"/>
    <field x="8"/>
    <field x="34"/>
    <field x="50"/>
    <field x="12"/>
    <field x="9"/>
    <field x="18"/>
  </rowFields>
  <rowItems count="1">
    <i>
      <x v="18"/>
      <x/>
      <x v="12"/>
      <x v="3"/>
      <x v="7"/>
      <x v="3"/>
      <x v="10"/>
      <x v="6"/>
    </i>
  </rowItems>
  <colItems count="1">
    <i/>
  </colItems>
  <pageFields count="1">
    <pageField fld="0" hier="-1"/>
  </pageFields>
  <dataFields count="1">
    <dataField name="计数项:工厂" fld="2" subtotal="count" baseField="0" baseItem="0"/>
  </dataFields>
  <formats count="156">
    <format dxfId="629">
      <pivotArea type="all" dataOnly="0" outline="0" fieldPosition="0"/>
    </format>
    <format dxfId="628">
      <pivotArea outline="0" collapsedLevelsAreSubtotals="1" fieldPosition="0"/>
    </format>
    <format dxfId="627">
      <pivotArea type="origin" dataOnly="0" labelOnly="1" outline="0" fieldPosition="0"/>
    </format>
    <format dxfId="626">
      <pivotArea field="6" type="button" dataOnly="0" labelOnly="1" outline="0" axis="axisRow" fieldPosition="0"/>
    </format>
    <format dxfId="625">
      <pivotArea field="7" type="button" dataOnly="0" labelOnly="1" outline="0" axis="axisRow" fieldPosition="1"/>
    </format>
    <format dxfId="624">
      <pivotArea field="8" type="button" dataOnly="0" labelOnly="1" outline="0" axis="axisRow" fieldPosition="2"/>
    </format>
    <format dxfId="623">
      <pivotArea field="34" type="button" dataOnly="0" labelOnly="1" outline="0" axis="axisRow" fieldPosition="3"/>
    </format>
    <format dxfId="622">
      <pivotArea field="50" type="button" dataOnly="0" labelOnly="1" outline="0" axis="axisRow" fieldPosition="4"/>
    </format>
    <format dxfId="621">
      <pivotArea field="12" type="button" dataOnly="0" labelOnly="1" outline="0" axis="axisRow" fieldPosition="5"/>
    </format>
    <format dxfId="620">
      <pivotArea field="9" type="button" dataOnly="0" labelOnly="1" outline="0" axis="axisRow" fieldPosition="6"/>
    </format>
    <format dxfId="619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618">
      <pivotArea dataOnly="0" labelOnly="1" grandRow="1" outline="0" fieldPosition="0"/>
    </format>
    <format dxfId="617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616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615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614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613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612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611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610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609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608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607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606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605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604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603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602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601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600">
      <pivotArea dataOnly="0" labelOnly="1" outline="0" fieldPosition="0">
        <references count="7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99">
      <pivotArea dataOnly="0" labelOnly="1" outline="0" fieldPosition="0">
        <references count="7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98">
      <pivotArea dataOnly="0" labelOnly="1" outline="0" fieldPosition="0">
        <references count="7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97">
      <pivotArea dataOnly="0" labelOnly="1" outline="0" fieldPosition="0">
        <references count="7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96">
      <pivotArea dataOnly="0" labelOnly="1" outline="0" fieldPosition="0">
        <references count="7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95">
      <pivotArea dataOnly="0" labelOnly="1" outline="0" fieldPosition="0">
        <references count="7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94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593">
      <pivotArea type="topRight" dataOnly="0" labelOnly="1" outline="0" fieldPosition="0"/>
    </format>
    <format dxfId="592">
      <pivotArea type="all" dataOnly="0" outline="0" fieldPosition="0"/>
    </format>
    <format dxfId="591">
      <pivotArea outline="0" collapsedLevelsAreSubtotals="1" fieldPosition="0"/>
    </format>
    <format dxfId="590">
      <pivotArea type="origin" dataOnly="0" labelOnly="1" outline="0" fieldPosition="0"/>
    </format>
    <format dxfId="589">
      <pivotArea field="6" type="button" dataOnly="0" labelOnly="1" outline="0" axis="axisRow" fieldPosition="0"/>
    </format>
    <format dxfId="588">
      <pivotArea field="7" type="button" dataOnly="0" labelOnly="1" outline="0" axis="axisRow" fieldPosition="1"/>
    </format>
    <format dxfId="587">
      <pivotArea field="8" type="button" dataOnly="0" labelOnly="1" outline="0" axis="axisRow" fieldPosition="2"/>
    </format>
    <format dxfId="586">
      <pivotArea field="34" type="button" dataOnly="0" labelOnly="1" outline="0" axis="axisRow" fieldPosition="3"/>
    </format>
    <format dxfId="585">
      <pivotArea field="50" type="button" dataOnly="0" labelOnly="1" outline="0" axis="axisRow" fieldPosition="4"/>
    </format>
    <format dxfId="584">
      <pivotArea field="12" type="button" dataOnly="0" labelOnly="1" outline="0" axis="axisRow" fieldPosition="5"/>
    </format>
    <format dxfId="583">
      <pivotArea field="9" type="button" dataOnly="0" labelOnly="1" outline="0" axis="axisRow" fieldPosition="6"/>
    </format>
    <format dxfId="582">
      <pivotArea field="18" type="button" dataOnly="0" labelOnly="1" outline="0" axis="axisRow" fieldPosition="7"/>
    </format>
    <format dxfId="581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80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579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578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577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576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575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574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573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572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571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570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569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568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567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66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565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564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63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562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561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60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59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58">
      <pivotArea dataOnly="0" labelOnly="1" outline="0" fieldPosition="0">
        <references count="8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57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56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55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54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553">
      <pivotArea type="topRight" dataOnly="0" labelOnly="1" outline="0" fieldPosition="0"/>
    </format>
    <format dxfId="552">
      <pivotArea type="all" dataOnly="0" outline="0" fieldPosition="0"/>
    </format>
    <format dxfId="551">
      <pivotArea outline="0" collapsedLevelsAreSubtotals="1" fieldPosition="0"/>
    </format>
    <format dxfId="550">
      <pivotArea type="origin" dataOnly="0" labelOnly="1" outline="0" fieldPosition="0"/>
    </format>
    <format dxfId="549">
      <pivotArea field="6" type="button" dataOnly="0" labelOnly="1" outline="0" axis="axisRow" fieldPosition="0"/>
    </format>
    <format dxfId="548">
      <pivotArea field="7" type="button" dataOnly="0" labelOnly="1" outline="0" axis="axisRow" fieldPosition="1"/>
    </format>
    <format dxfId="547">
      <pivotArea field="8" type="button" dataOnly="0" labelOnly="1" outline="0" axis="axisRow" fieldPosition="2"/>
    </format>
    <format dxfId="546">
      <pivotArea field="34" type="button" dataOnly="0" labelOnly="1" outline="0" axis="axisRow" fieldPosition="3"/>
    </format>
    <format dxfId="545">
      <pivotArea field="50" type="button" dataOnly="0" labelOnly="1" outline="0" axis="axisRow" fieldPosition="4"/>
    </format>
    <format dxfId="544">
      <pivotArea field="12" type="button" dataOnly="0" labelOnly="1" outline="0" axis="axisRow" fieldPosition="5"/>
    </format>
    <format dxfId="543">
      <pivotArea field="9" type="button" dataOnly="0" labelOnly="1" outline="0" axis="axisRow" fieldPosition="6"/>
    </format>
    <format dxfId="542">
      <pivotArea field="18" type="button" dataOnly="0" labelOnly="1" outline="0" axis="axisRow" fieldPosition="7"/>
    </format>
    <format dxfId="541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40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539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538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537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536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535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534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533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532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531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530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529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528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527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26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525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524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23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522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521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20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19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18">
      <pivotArea dataOnly="0" labelOnly="1" outline="0" fieldPosition="0">
        <references count="8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17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16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15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14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513">
      <pivotArea type="topRight" dataOnly="0" labelOnly="1" outline="0" fieldPosition="0"/>
    </format>
    <format dxfId="512">
      <pivotArea type="origin" dataOnly="0" labelOnly="1" outline="0" fieldPosition="0"/>
    </format>
    <format dxfId="511">
      <pivotArea field="6" type="button" dataOnly="0" labelOnly="1" outline="0" axis="axisRow" fieldPosition="0"/>
    </format>
    <format dxfId="510">
      <pivotArea field="7" type="button" dataOnly="0" labelOnly="1" outline="0" axis="axisRow" fieldPosition="1"/>
    </format>
    <format dxfId="509">
      <pivotArea field="8" type="button" dataOnly="0" labelOnly="1" outline="0" axis="axisRow" fieldPosition="2"/>
    </format>
    <format dxfId="508">
      <pivotArea field="34" type="button" dataOnly="0" labelOnly="1" outline="0" axis="axisRow" fieldPosition="3"/>
    </format>
    <format dxfId="507">
      <pivotArea field="50" type="button" dataOnly="0" labelOnly="1" outline="0" axis="axisRow" fieldPosition="4"/>
    </format>
    <format dxfId="506">
      <pivotArea field="12" type="button" dataOnly="0" labelOnly="1" outline="0" axis="axisRow" fieldPosition="5"/>
    </format>
    <format dxfId="505">
      <pivotArea field="9" type="button" dataOnly="0" labelOnly="1" outline="0" axis="axisRow" fieldPosition="6"/>
    </format>
    <format dxfId="504">
      <pivotArea field="18" type="button" dataOnly="0" labelOnly="1" outline="0" axis="axisRow" fieldPosition="7"/>
    </format>
    <format dxfId="503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502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501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500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499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498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497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496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495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494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493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492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491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490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489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88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487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486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85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484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483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82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81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80">
      <pivotArea dataOnly="0" labelOnly="1" outline="0" fieldPosition="0">
        <references count="8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79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78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77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76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475">
      <pivotArea outline="0" collapsedLevelsAreSubtotals="1" fieldPosition="0"/>
    </format>
    <format dxfId="474">
      <pivotArea type="topRight" dataOnly="0" labelOnly="1" outline="0" fieldPosition="0"/>
    </format>
  </formats>
  <pivotTableStyleInfo name="PivotStyleLight16" showRowHeaders="1" showColHeaders="1" showRowStripes="0" showColStripes="0" showLastColumn="1"/>
  <filters count="2">
    <filter fld="9" type="captionNotContains" evalOrder="-1" id="2" stringValue1="*打印*">
      <autoFilter ref="A1">
        <filterColumn colId="0">
          <customFilters>
            <customFilter operator="notEqual" val="**打印**"/>
          </customFilters>
        </filterColumn>
      </autoFilter>
    </filter>
    <filter fld="6" type="captionNotEqual" evalOrder="-1" id="1" stringValue1="(空白)">
      <autoFilter ref="A1">
        <filterColumn colId="0">
          <customFilters>
            <customFilter operator="notEqual" val="(空白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CDC48B-23F7-47B1-8396-5249CB6C0094}" name="数据透视表2" cacheId="0" applyNumberFormats="0" applyBorderFormats="0" applyFontFormats="0" applyPatternFormats="0" applyAlignmentFormats="0" applyWidthHeightFormats="1" dataCaption="值" updatedVersion="6" minRefreshableVersion="3" useAutoFormatting="1" rowGrandTotals="0" itemPrintTitles="1" createdVersion="6" indent="0" compact="0" compactData="0" gridDropZones="1" multipleFieldFilters="0">
  <location ref="A4:I6" firstHeaderRow="2" firstDataRow="2" firstDataCol="8" rowPageCount="1" colPageCount="1"/>
  <pivotFields count="65">
    <pivotField axis="axisPage" compact="0" outline="0" multipleItemSelectionAllowed="1" showAll="0">
      <items count="15">
        <item h="1" x="2"/>
        <item x="1"/>
        <item x="10"/>
        <item h="1" x="0"/>
        <item h="1" x="3"/>
        <item x="4"/>
        <item x="5"/>
        <item x="6"/>
        <item h="1" x="7"/>
        <item h="1" x="8"/>
        <item h="1" x="12"/>
        <item x="11"/>
        <item h="1" x="9"/>
        <item h="1" x="1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26">
        <item m="1" x="8"/>
        <item m="1" x="11"/>
        <item m="1" x="15"/>
        <item m="1" x="21"/>
        <item m="1" x="25"/>
        <item m="1" x="9"/>
        <item m="1" x="14"/>
        <item m="1" x="18"/>
        <item m="1" x="12"/>
        <item m="1" x="17"/>
        <item m="1" x="13"/>
        <item m="1" x="10"/>
        <item m="1" x="16"/>
        <item m="1" x="19"/>
        <item m="1" x="20"/>
        <item m="1" x="22"/>
        <item m="1" x="23"/>
        <item m="1" x="24"/>
        <item x="4"/>
        <item x="0"/>
        <item x="1"/>
        <item x="2"/>
        <item x="3"/>
        <item x="5"/>
        <item x="6"/>
        <item x="7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5">
        <item m="1" x="14"/>
        <item m="1" x="12"/>
        <item m="1" x="9"/>
        <item x="7"/>
        <item m="1" x="11"/>
        <item m="1" x="8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m="1" x="6"/>
        <item m="1" x="10"/>
        <item m="1" x="7"/>
        <item x="5"/>
        <item m="1" x="11"/>
        <item m="1" x="8"/>
        <item m="1" x="9"/>
        <item x="0"/>
        <item x="1"/>
        <item x="2"/>
        <item x="3"/>
        <item x="4"/>
      </items>
    </pivotField>
    <pivotField compact="0" outline="0" showAll="0"/>
    <pivotField compact="0" outline="0" showAll="0"/>
    <pivotField axis="axisRow" compact="0" outline="0" showAll="0" defaultSubtotal="0">
      <items count="4">
        <item m="1" x="3"/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m="1" x="4"/>
        <item m="1" x="6"/>
        <item x="3"/>
        <item m="1" x="5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m="1" x="4"/>
        <item m="1" x="3"/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">
        <item m="1" x="5"/>
        <item m="1" x="4"/>
        <item m="1" x="6"/>
        <item x="3"/>
        <item m="1" x="9"/>
        <item m="1" x="7"/>
        <item m="1" x="8"/>
        <item x="0"/>
        <item x="1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8">
    <field x="6"/>
    <field x="7"/>
    <field x="8"/>
    <field x="34"/>
    <field x="50"/>
    <field x="12"/>
    <field x="9"/>
    <field x="18"/>
  </rowFields>
  <rowItems count="1">
    <i>
      <x v="18"/>
      <x/>
      <x v="12"/>
      <x v="3"/>
      <x v="7"/>
      <x v="3"/>
      <x v="10"/>
      <x v="6"/>
    </i>
  </rowItems>
  <colItems count="1">
    <i/>
  </colItems>
  <pageFields count="1">
    <pageField fld="0" hier="-1"/>
  </pageFields>
  <dataFields count="1">
    <dataField name="计数项:工厂" fld="2" subtotal="count" baseField="0" baseItem="0"/>
  </dataFields>
  <formats count="156">
    <format dxfId="473">
      <pivotArea type="all" dataOnly="0" outline="0" fieldPosition="0"/>
    </format>
    <format dxfId="472">
      <pivotArea outline="0" collapsedLevelsAreSubtotals="1" fieldPosition="0"/>
    </format>
    <format dxfId="471">
      <pivotArea type="origin" dataOnly="0" labelOnly="1" outline="0" fieldPosition="0"/>
    </format>
    <format dxfId="470">
      <pivotArea field="6" type="button" dataOnly="0" labelOnly="1" outline="0" axis="axisRow" fieldPosition="0"/>
    </format>
    <format dxfId="469">
      <pivotArea field="7" type="button" dataOnly="0" labelOnly="1" outline="0" axis="axisRow" fieldPosition="1"/>
    </format>
    <format dxfId="468">
      <pivotArea field="8" type="button" dataOnly="0" labelOnly="1" outline="0" axis="axisRow" fieldPosition="2"/>
    </format>
    <format dxfId="467">
      <pivotArea field="34" type="button" dataOnly="0" labelOnly="1" outline="0" axis="axisRow" fieldPosition="3"/>
    </format>
    <format dxfId="466">
      <pivotArea field="50" type="button" dataOnly="0" labelOnly="1" outline="0" axis="axisRow" fieldPosition="4"/>
    </format>
    <format dxfId="465">
      <pivotArea field="12" type="button" dataOnly="0" labelOnly="1" outline="0" axis="axisRow" fieldPosition="5"/>
    </format>
    <format dxfId="464">
      <pivotArea field="9" type="button" dataOnly="0" labelOnly="1" outline="0" axis="axisRow" fieldPosition="6"/>
    </format>
    <format dxfId="463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62">
      <pivotArea dataOnly="0" labelOnly="1" grandRow="1" outline="0" fieldPosition="0"/>
    </format>
    <format dxfId="461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460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459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458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457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456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455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454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453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452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451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450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449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448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47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446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445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44">
      <pivotArea dataOnly="0" labelOnly="1" outline="0" fieldPosition="0">
        <references count="7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43">
      <pivotArea dataOnly="0" labelOnly="1" outline="0" fieldPosition="0">
        <references count="7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42">
      <pivotArea dataOnly="0" labelOnly="1" outline="0" fieldPosition="0">
        <references count="7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41">
      <pivotArea dataOnly="0" labelOnly="1" outline="0" fieldPosition="0">
        <references count="7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40">
      <pivotArea dataOnly="0" labelOnly="1" outline="0" fieldPosition="0">
        <references count="7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39">
      <pivotArea dataOnly="0" labelOnly="1" outline="0" fieldPosition="0">
        <references count="7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38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437">
      <pivotArea type="topRight" dataOnly="0" labelOnly="1" outline="0" fieldPosition="0"/>
    </format>
    <format dxfId="436">
      <pivotArea type="all" dataOnly="0" outline="0" fieldPosition="0"/>
    </format>
    <format dxfId="435">
      <pivotArea outline="0" collapsedLevelsAreSubtotals="1" fieldPosition="0"/>
    </format>
    <format dxfId="434">
      <pivotArea type="origin" dataOnly="0" labelOnly="1" outline="0" fieldPosition="0"/>
    </format>
    <format dxfId="433">
      <pivotArea field="6" type="button" dataOnly="0" labelOnly="1" outline="0" axis="axisRow" fieldPosition="0"/>
    </format>
    <format dxfId="432">
      <pivotArea field="7" type="button" dataOnly="0" labelOnly="1" outline="0" axis="axisRow" fieldPosition="1"/>
    </format>
    <format dxfId="431">
      <pivotArea field="8" type="button" dataOnly="0" labelOnly="1" outline="0" axis="axisRow" fieldPosition="2"/>
    </format>
    <format dxfId="430">
      <pivotArea field="34" type="button" dataOnly="0" labelOnly="1" outline="0" axis="axisRow" fieldPosition="3"/>
    </format>
    <format dxfId="429">
      <pivotArea field="50" type="button" dataOnly="0" labelOnly="1" outline="0" axis="axisRow" fieldPosition="4"/>
    </format>
    <format dxfId="428">
      <pivotArea field="12" type="button" dataOnly="0" labelOnly="1" outline="0" axis="axisRow" fieldPosition="5"/>
    </format>
    <format dxfId="427">
      <pivotArea field="9" type="button" dataOnly="0" labelOnly="1" outline="0" axis="axisRow" fieldPosition="6"/>
    </format>
    <format dxfId="426">
      <pivotArea field="18" type="button" dataOnly="0" labelOnly="1" outline="0" axis="axisRow" fieldPosition="7"/>
    </format>
    <format dxfId="425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424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423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422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421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420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419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418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417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416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415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414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413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412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411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10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409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408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07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406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405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04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03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02">
      <pivotArea dataOnly="0" labelOnly="1" outline="0" fieldPosition="0">
        <references count="8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01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400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99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98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397">
      <pivotArea type="topRight" dataOnly="0" labelOnly="1" outline="0" fieldPosition="0"/>
    </format>
    <format dxfId="396">
      <pivotArea type="all" dataOnly="0" outline="0" fieldPosition="0"/>
    </format>
    <format dxfId="395">
      <pivotArea outline="0" collapsedLevelsAreSubtotals="1" fieldPosition="0"/>
    </format>
    <format dxfId="394">
      <pivotArea type="origin" dataOnly="0" labelOnly="1" outline="0" fieldPosition="0"/>
    </format>
    <format dxfId="393">
      <pivotArea field="6" type="button" dataOnly="0" labelOnly="1" outline="0" axis="axisRow" fieldPosition="0"/>
    </format>
    <format dxfId="392">
      <pivotArea field="7" type="button" dataOnly="0" labelOnly="1" outline="0" axis="axisRow" fieldPosition="1"/>
    </format>
    <format dxfId="391">
      <pivotArea field="8" type="button" dataOnly="0" labelOnly="1" outline="0" axis="axisRow" fieldPosition="2"/>
    </format>
    <format dxfId="390">
      <pivotArea field="34" type="button" dataOnly="0" labelOnly="1" outline="0" axis="axisRow" fieldPosition="3"/>
    </format>
    <format dxfId="389">
      <pivotArea field="50" type="button" dataOnly="0" labelOnly="1" outline="0" axis="axisRow" fieldPosition="4"/>
    </format>
    <format dxfId="388">
      <pivotArea field="12" type="button" dataOnly="0" labelOnly="1" outline="0" axis="axisRow" fieldPosition="5"/>
    </format>
    <format dxfId="387">
      <pivotArea field="9" type="button" dataOnly="0" labelOnly="1" outline="0" axis="axisRow" fieldPosition="6"/>
    </format>
    <format dxfId="386">
      <pivotArea field="18" type="button" dataOnly="0" labelOnly="1" outline="0" axis="axisRow" fieldPosition="7"/>
    </format>
    <format dxfId="385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84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383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382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381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380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379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378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377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376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375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374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373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372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371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70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369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368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67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366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365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64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63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62">
      <pivotArea dataOnly="0" labelOnly="1" outline="0" fieldPosition="0">
        <references count="8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61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60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59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58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357">
      <pivotArea type="topRight" dataOnly="0" labelOnly="1" outline="0" fieldPosition="0"/>
    </format>
    <format dxfId="356">
      <pivotArea type="origin" dataOnly="0" labelOnly="1" outline="0" fieldPosition="0"/>
    </format>
    <format dxfId="355">
      <pivotArea field="6" type="button" dataOnly="0" labelOnly="1" outline="0" axis="axisRow" fieldPosition="0"/>
    </format>
    <format dxfId="354">
      <pivotArea field="7" type="button" dataOnly="0" labelOnly="1" outline="0" axis="axisRow" fieldPosition="1"/>
    </format>
    <format dxfId="353">
      <pivotArea field="8" type="button" dataOnly="0" labelOnly="1" outline="0" axis="axisRow" fieldPosition="2"/>
    </format>
    <format dxfId="352">
      <pivotArea field="34" type="button" dataOnly="0" labelOnly="1" outline="0" axis="axisRow" fieldPosition="3"/>
    </format>
    <format dxfId="351">
      <pivotArea field="50" type="button" dataOnly="0" labelOnly="1" outline="0" axis="axisRow" fieldPosition="4"/>
    </format>
    <format dxfId="350">
      <pivotArea field="12" type="button" dataOnly="0" labelOnly="1" outline="0" axis="axisRow" fieldPosition="5"/>
    </format>
    <format dxfId="349">
      <pivotArea field="9" type="button" dataOnly="0" labelOnly="1" outline="0" axis="axisRow" fieldPosition="6"/>
    </format>
    <format dxfId="348">
      <pivotArea field="18" type="button" dataOnly="0" labelOnly="1" outline="0" axis="axisRow" fieldPosition="7"/>
    </format>
    <format dxfId="347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46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345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344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343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342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341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340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339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338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337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336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335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334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333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32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331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330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29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328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327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26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25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24">
      <pivotArea dataOnly="0" labelOnly="1" outline="0" fieldPosition="0">
        <references count="8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23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22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21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20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319">
      <pivotArea outline="0" collapsedLevelsAreSubtotals="1" fieldPosition="0"/>
    </format>
    <format dxfId="318">
      <pivotArea type="topRight" dataOnly="0" labelOnly="1" outline="0" fieldPosition="0"/>
    </format>
  </formats>
  <pivotTableStyleInfo name="PivotStyleLight16" showRowHeaders="1" showColHeaders="1" showRowStripes="0" showColStripes="0" showLastColumn="1"/>
  <filters count="2">
    <filter fld="9" type="captionNotContains" evalOrder="-1" id="2" stringValue1="*打印*">
      <autoFilter ref="A1">
        <filterColumn colId="0">
          <customFilters>
            <customFilter operator="notEqual" val="**打印**"/>
          </customFilters>
        </filterColumn>
      </autoFilter>
    </filter>
    <filter fld="6" type="captionNotEqual" evalOrder="-1" id="1" stringValue1="(空白)">
      <autoFilter ref="A1">
        <filterColumn colId="0">
          <customFilters>
            <customFilter operator="notEqual" val="(空白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E09B0-B659-4BB4-B4E1-85D10A7DD20B}" name="数据透视表3" cacheId="0" applyNumberFormats="0" applyBorderFormats="0" applyFontFormats="0" applyPatternFormats="0" applyAlignmentFormats="0" applyWidthHeightFormats="1" dataCaption="值" updatedVersion="6" minRefreshableVersion="3" useAutoFormatting="1" rowGrandTotals="0" itemPrintTitles="1" createdVersion="6" indent="0" compact="0" compactData="0" gridDropZones="1" multipleFieldFilters="0">
  <location ref="A4:I12" firstHeaderRow="2" firstDataRow="2" firstDataCol="8" rowPageCount="1" colPageCount="1"/>
  <pivotFields count="65">
    <pivotField compact="0" outline="0" multipleItemSelectionAllowed="1" showAll="0"/>
    <pivotField axis="axisPage" compact="0" outline="0" showAll="0">
      <items count="4">
        <item x="0"/>
        <item x="1"/>
        <item m="1"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 defaultSubtotal="0">
      <items count="26">
        <item m="1" x="8"/>
        <item m="1" x="11"/>
        <item m="1" x="15"/>
        <item m="1" x="21"/>
        <item m="1" x="25"/>
        <item m="1" x="9"/>
        <item m="1" x="14"/>
        <item m="1" x="18"/>
        <item m="1" x="12"/>
        <item m="1" x="17"/>
        <item m="1" x="13"/>
        <item m="1" x="10"/>
        <item m="1" x="16"/>
        <item m="1" x="19"/>
        <item m="1" x="20"/>
        <item m="1" x="22"/>
        <item m="1" x="23"/>
        <item m="1" x="24"/>
        <item x="4"/>
        <item x="0"/>
        <item x="1"/>
        <item x="2"/>
        <item x="3"/>
        <item x="5"/>
        <item x="6"/>
        <item x="7"/>
      </items>
    </pivotField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5">
        <item m="1" x="14"/>
        <item m="1" x="12"/>
        <item m="1" x="9"/>
        <item x="7"/>
        <item m="1" x="11"/>
        <item m="1" x="8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defaultSubtotal="0">
      <items count="12">
        <item m="1" x="6"/>
        <item m="1" x="10"/>
        <item m="1" x="7"/>
        <item x="5"/>
        <item m="1" x="11"/>
        <item m="1" x="8"/>
        <item m="1" x="9"/>
        <item x="0"/>
        <item x="1"/>
        <item x="2"/>
        <item x="3"/>
        <item x="4"/>
      </items>
    </pivotField>
    <pivotField compact="0" outline="0" showAll="0"/>
    <pivotField compact="0" outline="0" showAll="0"/>
    <pivotField axis="axisRow" compact="0" outline="0" showAll="0" defaultSubtotal="0">
      <items count="4">
        <item m="1" x="3"/>
        <item x="0"/>
        <item x="2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8">
        <item m="1" x="4"/>
        <item m="1" x="6"/>
        <item x="3"/>
        <item m="1" x="5"/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">
        <item m="1" x="4"/>
        <item m="1" x="3"/>
        <item x="2"/>
        <item x="0"/>
        <item x="1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10">
        <item m="1" x="5"/>
        <item m="1" x="4"/>
        <item m="1" x="6"/>
        <item x="3"/>
        <item m="1" x="9"/>
        <item m="1" x="7"/>
        <item m="1" x="8"/>
        <item x="0"/>
        <item x="1"/>
        <item x="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8">
    <field x="6"/>
    <field x="7"/>
    <field x="8"/>
    <field x="34"/>
    <field x="50"/>
    <field x="12"/>
    <field x="9"/>
    <field x="18"/>
  </rowFields>
  <rowItems count="7">
    <i>
      <x v="18"/>
      <x/>
      <x v="12"/>
      <x v="3"/>
      <x v="7"/>
      <x v="3"/>
      <x v="10"/>
      <x v="6"/>
    </i>
    <i>
      <x v="19"/>
      <x/>
      <x v="8"/>
      <x v="3"/>
      <x v="7"/>
      <x v="1"/>
      <x v="7"/>
      <x v="4"/>
    </i>
    <i>
      <x v="20"/>
      <x/>
      <x v="9"/>
      <x v="3"/>
      <x v="8"/>
      <x v="1"/>
      <x v="8"/>
      <x v="5"/>
    </i>
    <i>
      <x v="21"/>
      <x/>
      <x v="10"/>
      <x v="4"/>
      <x v="8"/>
      <x v="1"/>
      <x v="9"/>
      <x v="5"/>
    </i>
    <i>
      <x v="22"/>
      <x/>
      <x v="11"/>
      <x v="4"/>
      <x v="8"/>
      <x v="1"/>
      <x v="8"/>
      <x v="5"/>
    </i>
    <i>
      <x v="23"/>
      <x/>
      <x v="13"/>
      <x v="3"/>
      <x v="9"/>
      <x v="1"/>
      <x v="11"/>
      <x v="5"/>
    </i>
    <i>
      <x v="24"/>
      <x/>
      <x v="14"/>
      <x v="4"/>
      <x v="9"/>
      <x v="1"/>
      <x v="9"/>
      <x v="5"/>
    </i>
  </rowItems>
  <colItems count="1">
    <i/>
  </colItems>
  <pageFields count="1">
    <pageField fld="1" item="0" hier="-1"/>
  </pageFields>
  <dataFields count="1">
    <dataField name="计数项:工厂" fld="2" subtotal="count" baseField="0" baseItem="0"/>
  </dataFields>
  <formats count="315">
    <format dxfId="317">
      <pivotArea type="all" dataOnly="0" outline="0" fieldPosition="0"/>
    </format>
    <format dxfId="316">
      <pivotArea outline="0" collapsedLevelsAreSubtotals="1" fieldPosition="0"/>
    </format>
    <format dxfId="315">
      <pivotArea type="origin" dataOnly="0" labelOnly="1" outline="0" fieldPosition="0"/>
    </format>
    <format dxfId="314">
      <pivotArea field="6" type="button" dataOnly="0" labelOnly="1" outline="0" axis="axisRow" fieldPosition="0"/>
    </format>
    <format dxfId="313">
      <pivotArea field="7" type="button" dataOnly="0" labelOnly="1" outline="0" axis="axisRow" fieldPosition="1"/>
    </format>
    <format dxfId="312">
      <pivotArea field="8" type="button" dataOnly="0" labelOnly="1" outline="0" axis="axisRow" fieldPosition="2"/>
    </format>
    <format dxfId="311">
      <pivotArea field="34" type="button" dataOnly="0" labelOnly="1" outline="0" axis="axisRow" fieldPosition="3"/>
    </format>
    <format dxfId="310">
      <pivotArea field="50" type="button" dataOnly="0" labelOnly="1" outline="0" axis="axisRow" fieldPosition="4"/>
    </format>
    <format dxfId="309">
      <pivotArea field="12" type="button" dataOnly="0" labelOnly="1" outline="0" axis="axisRow" fieldPosition="5"/>
    </format>
    <format dxfId="308">
      <pivotArea field="9" type="button" dataOnly="0" labelOnly="1" outline="0" axis="axisRow" fieldPosition="6"/>
    </format>
    <format dxfId="307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306">
      <pivotArea dataOnly="0" labelOnly="1" grandRow="1" outline="0" fieldPosition="0"/>
    </format>
    <format dxfId="305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304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303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302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301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300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299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298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297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296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295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294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293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292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91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290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289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88">
      <pivotArea dataOnly="0" labelOnly="1" outline="0" fieldPosition="0">
        <references count="7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87">
      <pivotArea dataOnly="0" labelOnly="1" outline="0" fieldPosition="0">
        <references count="7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86">
      <pivotArea dataOnly="0" labelOnly="1" outline="0" fieldPosition="0">
        <references count="7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85">
      <pivotArea dataOnly="0" labelOnly="1" outline="0" fieldPosition="0">
        <references count="7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84">
      <pivotArea dataOnly="0" labelOnly="1" outline="0" fieldPosition="0">
        <references count="7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83">
      <pivotArea dataOnly="0" labelOnly="1" outline="0" fieldPosition="0">
        <references count="7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82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281">
      <pivotArea type="topRight" dataOnly="0" labelOnly="1" outline="0" fieldPosition="0"/>
    </format>
    <format dxfId="280">
      <pivotArea type="all" dataOnly="0" outline="0" fieldPosition="0"/>
    </format>
    <format dxfId="279">
      <pivotArea type="origin" dataOnly="0" labelOnly="1" outline="0" fieldPosition="0"/>
    </format>
    <format dxfId="278">
      <pivotArea field="6" type="button" dataOnly="0" labelOnly="1" outline="0" axis="axisRow" fieldPosition="0"/>
    </format>
    <format dxfId="277">
      <pivotArea field="7" type="button" dataOnly="0" labelOnly="1" outline="0" axis="axisRow" fieldPosition="1"/>
    </format>
    <format dxfId="276">
      <pivotArea field="8" type="button" dataOnly="0" labelOnly="1" outline="0" axis="axisRow" fieldPosition="2"/>
    </format>
    <format dxfId="275">
      <pivotArea field="34" type="button" dataOnly="0" labelOnly="1" outline="0" axis="axisRow" fieldPosition="3"/>
    </format>
    <format dxfId="274">
      <pivotArea field="50" type="button" dataOnly="0" labelOnly="1" outline="0" axis="axisRow" fieldPosition="4"/>
    </format>
    <format dxfId="273">
      <pivotArea field="12" type="button" dataOnly="0" labelOnly="1" outline="0" axis="axisRow" fieldPosition="5"/>
    </format>
    <format dxfId="272">
      <pivotArea field="9" type="button" dataOnly="0" labelOnly="1" outline="0" axis="axisRow" fieldPosition="6"/>
    </format>
    <format dxfId="271">
      <pivotArea field="18" type="button" dataOnly="0" labelOnly="1" outline="0" axis="axisRow" fieldPosition="7"/>
    </format>
    <format dxfId="270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69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268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267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266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65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64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63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62">
      <pivotArea type="topRight" dataOnly="0" labelOnly="1" outline="0" fieldPosition="0"/>
    </format>
    <format dxfId="261">
      <pivotArea type="all" dataOnly="0" outline="0" fieldPosition="0"/>
    </format>
    <format dxfId="260">
      <pivotArea outline="0" collapsedLevelsAreSubtotals="1" fieldPosition="0"/>
    </format>
    <format dxfId="259">
      <pivotArea type="origin" dataOnly="0" labelOnly="1" outline="0" fieldPosition="0"/>
    </format>
    <format dxfId="258">
      <pivotArea field="6" type="button" dataOnly="0" labelOnly="1" outline="0" axis="axisRow" fieldPosition="0"/>
    </format>
    <format dxfId="257">
      <pivotArea field="7" type="button" dataOnly="0" labelOnly="1" outline="0" axis="axisRow" fieldPosition="1"/>
    </format>
    <format dxfId="256">
      <pivotArea field="8" type="button" dataOnly="0" labelOnly="1" outline="0" axis="axisRow" fieldPosition="2"/>
    </format>
    <format dxfId="255">
      <pivotArea field="34" type="button" dataOnly="0" labelOnly="1" outline="0" axis="axisRow" fieldPosition="3"/>
    </format>
    <format dxfId="254">
      <pivotArea field="50" type="button" dataOnly="0" labelOnly="1" outline="0" axis="axisRow" fieldPosition="4"/>
    </format>
    <format dxfId="253">
      <pivotArea field="12" type="button" dataOnly="0" labelOnly="1" outline="0" axis="axisRow" fieldPosition="5"/>
    </format>
    <format dxfId="252">
      <pivotArea field="9" type="button" dataOnly="0" labelOnly="1" outline="0" axis="axisRow" fieldPosition="6"/>
    </format>
    <format dxfId="251">
      <pivotArea field="18" type="button" dataOnly="0" labelOnly="1" outline="0" axis="axisRow" fieldPosition="7"/>
    </format>
    <format dxfId="250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49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248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247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246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245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244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243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242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241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240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239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238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237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236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35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234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233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32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231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230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29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28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27">
      <pivotArea dataOnly="0" labelOnly="1" outline="0" fieldPosition="0">
        <references count="8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26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25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24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23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222">
      <pivotArea type="topRight" dataOnly="0" labelOnly="1" outline="0" fieldPosition="0"/>
    </format>
    <format dxfId="221">
      <pivotArea type="origin" dataOnly="0" labelOnly="1" outline="0" fieldPosition="0"/>
    </format>
    <format dxfId="220">
      <pivotArea field="6" type="button" dataOnly="0" labelOnly="1" outline="0" axis="axisRow" fieldPosition="0"/>
    </format>
    <format dxfId="219">
      <pivotArea field="7" type="button" dataOnly="0" labelOnly="1" outline="0" axis="axisRow" fieldPosition="1"/>
    </format>
    <format dxfId="218">
      <pivotArea field="8" type="button" dataOnly="0" labelOnly="1" outline="0" axis="axisRow" fieldPosition="2"/>
    </format>
    <format dxfId="217">
      <pivotArea field="34" type="button" dataOnly="0" labelOnly="1" outline="0" axis="axisRow" fieldPosition="3"/>
    </format>
    <format dxfId="216">
      <pivotArea field="50" type="button" dataOnly="0" labelOnly="1" outline="0" axis="axisRow" fieldPosition="4"/>
    </format>
    <format dxfId="215">
      <pivotArea field="12" type="button" dataOnly="0" labelOnly="1" outline="0" axis="axisRow" fieldPosition="5"/>
    </format>
    <format dxfId="214">
      <pivotArea field="9" type="button" dataOnly="0" labelOnly="1" outline="0" axis="axisRow" fieldPosition="6"/>
    </format>
    <format dxfId="213">
      <pivotArea field="18" type="button" dataOnly="0" labelOnly="1" outline="0" axis="axisRow" fieldPosition="7"/>
    </format>
    <format dxfId="212">
      <pivotArea dataOnly="0" labelOnly="1" outline="0" fieldPosition="0">
        <references count="1">
          <reference field="6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211">
      <pivotArea dataOnly="0" labelOnly="1" outline="0" fieldPosition="0">
        <references count="2">
          <reference field="6" count="1" selected="0">
            <x v="6"/>
          </reference>
          <reference field="7" count="1">
            <x v="1"/>
          </reference>
        </references>
      </pivotArea>
    </format>
    <format dxfId="210">
      <pivotArea dataOnly="0" labelOnly="1" outline="0" fieldPosition="0">
        <references count="2">
          <reference field="6" count="1" selected="0">
            <x v="8"/>
          </reference>
          <reference field="7" count="1">
            <x v="0"/>
          </reference>
        </references>
      </pivotArea>
    </format>
    <format dxfId="209">
      <pivotArea dataOnly="0" labelOnly="1" outline="0" fieldPosition="0">
        <references count="3">
          <reference field="6" count="1" selected="0">
            <x v="6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208">
      <pivotArea dataOnly="0" labelOnly="1" outline="0" fieldPosition="0">
        <references count="8">
          <reference field="6" count="1" selected="0">
            <x v="2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07">
      <pivotArea dataOnly="0" labelOnly="1" outline="0" fieldPosition="0">
        <references count="8">
          <reference field="6" count="1" selected="0">
            <x v="5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06">
      <pivotArea dataOnly="0" labelOnly="1" outline="0" fieldPosition="0">
        <references count="8">
          <reference field="6" count="1" selected="0">
            <x v="6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05">
      <pivotArea dataOnly="0" labelOnly="1" outline="0" fieldPosition="0">
        <references count="8">
          <reference field="6" count="1" selected="0">
            <x v="7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04">
      <pivotArea type="topRight" dataOnly="0" labelOnly="1" outline="0" fieldPosition="0"/>
    </format>
    <format dxfId="203">
      <pivotArea outline="0" collapsedLevelsAreSubtotals="1" fieldPosition="0"/>
    </format>
    <format dxfId="202">
      <pivotArea dataOnly="0" labelOnly="1" outline="0" fieldPosition="0">
        <references count="1">
          <reference field="6" count="8">
            <x v="0"/>
            <x v="1"/>
            <x v="3"/>
            <x v="4"/>
            <x v="8"/>
            <x v="9"/>
            <x v="10"/>
            <x v="11"/>
          </reference>
        </references>
      </pivotArea>
    </format>
    <format dxfId="201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200">
      <pivotArea dataOnly="0" labelOnly="1" outline="0" fieldPosition="0">
        <references count="2">
          <reference field="6" count="1" selected="0">
            <x v="9"/>
          </reference>
          <reference field="7" count="1">
            <x v="1"/>
          </reference>
        </references>
      </pivotArea>
    </format>
    <format dxfId="199">
      <pivotArea dataOnly="0" labelOnly="1" outline="0" fieldPosition="0">
        <references count="2">
          <reference field="6" count="1" selected="0">
            <x v="10"/>
          </reference>
          <reference field="7" count="1">
            <x v="0"/>
          </reference>
        </references>
      </pivotArea>
    </format>
    <format dxfId="198">
      <pivotArea dataOnly="0" labelOnly="1" outline="0" fieldPosition="0">
        <references count="2">
          <reference field="6" count="1" selected="0">
            <x v="11"/>
          </reference>
          <reference field="7" count="1">
            <x v="1"/>
          </reference>
        </references>
      </pivotArea>
    </format>
    <format dxfId="197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196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95">
      <pivotArea dataOnly="0" labelOnly="1" outline="0" fieldPosition="0">
        <references count="3">
          <reference field="6" count="1" selected="0">
            <x v="9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194">
      <pivotArea dataOnly="0" labelOnly="1" outline="0" fieldPosition="0">
        <references count="3">
          <reference field="6" count="1" selected="0">
            <x v="10"/>
          </reference>
          <reference field="7" count="1" selected="0">
            <x v="0"/>
          </reference>
          <reference field="8" count="1">
            <x v="1"/>
          </reference>
        </references>
      </pivotArea>
    </format>
    <format dxfId="193">
      <pivotArea dataOnly="0" labelOnly="1" outline="0" fieldPosition="0">
        <references count="3">
          <reference field="6" count="1" selected="0">
            <x v="11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192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191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190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189">
      <pivotArea dataOnly="0" labelOnly="1" outline="0" fieldPosition="0">
        <references count="4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34" count="1">
            <x v="2"/>
          </reference>
        </references>
      </pivotArea>
    </format>
    <format dxfId="188">
      <pivotArea dataOnly="0" labelOnly="1" outline="0" fieldPosition="0">
        <references count="4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34" count="1">
            <x v="0"/>
          </reference>
        </references>
      </pivotArea>
    </format>
    <format dxfId="187">
      <pivotArea dataOnly="0" labelOnly="1" outline="0" fieldPosition="0">
        <references count="4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34" count="1">
            <x v="2"/>
          </reference>
        </references>
      </pivotArea>
    </format>
    <format dxfId="186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185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184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183">
      <pivotArea dataOnly="0" labelOnly="1" outline="0" fieldPosition="0">
        <references count="5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182">
      <pivotArea dataOnly="0" labelOnly="1" outline="0" fieldPosition="0">
        <references count="5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34" count="1" selected="0">
            <x v="0"/>
          </reference>
          <reference field="50" count="1">
            <x v="0"/>
          </reference>
        </references>
      </pivotArea>
    </format>
    <format dxfId="181">
      <pivotArea dataOnly="0" labelOnly="1" outline="0" fieldPosition="0">
        <references count="5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180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179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78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177">
      <pivotArea dataOnly="0" labelOnly="1" outline="0" fieldPosition="0">
        <references count="6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76">
      <pivotArea dataOnly="0" labelOnly="1" outline="0" fieldPosition="0">
        <references count="6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12" count="1">
            <x v="1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175">
      <pivotArea dataOnly="0" labelOnly="1" outline="0" fieldPosition="0">
        <references count="6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74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173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72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171">
      <pivotArea dataOnly="0" labelOnly="1" outline="0" fieldPosition="0">
        <references count="7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70">
      <pivotArea dataOnly="0" labelOnly="1" outline="0" fieldPosition="0">
        <references count="7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9" count="1">
            <x v="2"/>
          </reference>
          <reference field="12" count="1" selected="0">
            <x v="1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169">
      <pivotArea dataOnly="0" labelOnly="1" outline="0" fieldPosition="0">
        <references count="7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68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167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66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65">
      <pivotArea dataOnly="0" labelOnly="1" outline="0" fieldPosition="0">
        <references count="8">
          <reference field="6" count="1" selected="0">
            <x v="4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64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163">
      <pivotArea outline="0" collapsedLevelsAreSubtotals="1" fieldPosition="0"/>
    </format>
    <format dxfId="162">
      <pivotArea outline="0" collapsedLevelsAreSubtotals="1" fieldPosition="0"/>
    </format>
    <format dxfId="161">
      <pivotArea type="all" dataOnly="0" outline="0" fieldPosition="0"/>
    </format>
    <format dxfId="160">
      <pivotArea outline="0" collapsedLevelsAreSubtotals="1" fieldPosition="0"/>
    </format>
    <format dxfId="159">
      <pivotArea type="origin" dataOnly="0" labelOnly="1" outline="0" fieldPosition="0"/>
    </format>
    <format dxfId="158">
      <pivotArea field="6" type="button" dataOnly="0" labelOnly="1" outline="0" axis="axisRow" fieldPosition="0"/>
    </format>
    <format dxfId="157">
      <pivotArea field="7" type="button" dataOnly="0" labelOnly="1" outline="0" axis="axisRow" fieldPosition="1"/>
    </format>
    <format dxfId="156">
      <pivotArea field="8" type="button" dataOnly="0" labelOnly="1" outline="0" axis="axisRow" fieldPosition="2"/>
    </format>
    <format dxfId="155">
      <pivotArea field="34" type="button" dataOnly="0" labelOnly="1" outline="0" axis="axisRow" fieldPosition="3"/>
    </format>
    <format dxfId="154">
      <pivotArea field="50" type="button" dataOnly="0" labelOnly="1" outline="0" axis="axisRow" fieldPosition="4"/>
    </format>
    <format dxfId="153">
      <pivotArea field="12" type="button" dataOnly="0" labelOnly="1" outline="0" axis="axisRow" fieldPosition="5"/>
    </format>
    <format dxfId="152">
      <pivotArea field="9" type="button" dataOnly="0" labelOnly="1" outline="0" axis="axisRow" fieldPosition="6"/>
    </format>
    <format dxfId="151">
      <pivotArea field="18" type="button" dataOnly="0" labelOnly="1" outline="0" axis="axisRow" fieldPosition="7"/>
    </format>
    <format dxfId="150">
      <pivotArea dataOnly="0" labelOnly="1" outline="0" fieldPosition="0">
        <references count="1">
          <reference field="6" count="7">
            <x v="0"/>
            <x v="1"/>
            <x v="3"/>
            <x v="8"/>
            <x v="9"/>
            <x v="10"/>
            <x v="11"/>
          </reference>
        </references>
      </pivotArea>
    </format>
    <format dxfId="149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148">
      <pivotArea dataOnly="0" labelOnly="1" outline="0" fieldPosition="0">
        <references count="2">
          <reference field="6" count="1" selected="0">
            <x v="9"/>
          </reference>
          <reference field="7" count="1">
            <x v="1"/>
          </reference>
        </references>
      </pivotArea>
    </format>
    <format dxfId="147">
      <pivotArea dataOnly="0" labelOnly="1" outline="0" fieldPosition="0">
        <references count="2">
          <reference field="6" count="1" selected="0">
            <x v="10"/>
          </reference>
          <reference field="7" count="1">
            <x v="0"/>
          </reference>
        </references>
      </pivotArea>
    </format>
    <format dxfId="146">
      <pivotArea dataOnly="0" labelOnly="1" outline="0" fieldPosition="0">
        <references count="2">
          <reference field="6" count="1" selected="0">
            <x v="11"/>
          </reference>
          <reference field="7" count="1">
            <x v="1"/>
          </reference>
        </references>
      </pivotArea>
    </format>
    <format dxfId="145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144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143">
      <pivotArea dataOnly="0" labelOnly="1" outline="0" fieldPosition="0">
        <references count="3">
          <reference field="6" count="1" selected="0">
            <x v="9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142">
      <pivotArea dataOnly="0" labelOnly="1" outline="0" fieldPosition="0">
        <references count="3">
          <reference field="6" count="1" selected="0">
            <x v="10"/>
          </reference>
          <reference field="7" count="1" selected="0">
            <x v="0"/>
          </reference>
          <reference field="8" count="1">
            <x v="1"/>
          </reference>
        </references>
      </pivotArea>
    </format>
    <format dxfId="141">
      <pivotArea dataOnly="0" labelOnly="1" outline="0" fieldPosition="0">
        <references count="3">
          <reference field="6" count="1" selected="0">
            <x v="11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140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139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138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137">
      <pivotArea dataOnly="0" labelOnly="1" outline="0" fieldPosition="0">
        <references count="4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34" count="1">
            <x v="2"/>
          </reference>
        </references>
      </pivotArea>
    </format>
    <format dxfId="136">
      <pivotArea dataOnly="0" labelOnly="1" outline="0" fieldPosition="0">
        <references count="4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34" count="1">
            <x v="0"/>
          </reference>
        </references>
      </pivotArea>
    </format>
    <format dxfId="135">
      <pivotArea dataOnly="0" labelOnly="1" outline="0" fieldPosition="0">
        <references count="4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34" count="1">
            <x v="2"/>
          </reference>
        </references>
      </pivotArea>
    </format>
    <format dxfId="134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133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132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131">
      <pivotArea dataOnly="0" labelOnly="1" outline="0" fieldPosition="0">
        <references count="5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130">
      <pivotArea dataOnly="0" labelOnly="1" outline="0" fieldPosition="0">
        <references count="5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34" count="1" selected="0">
            <x v="0"/>
          </reference>
          <reference field="50" count="1">
            <x v="0"/>
          </reference>
        </references>
      </pivotArea>
    </format>
    <format dxfId="129">
      <pivotArea dataOnly="0" labelOnly="1" outline="0" fieldPosition="0">
        <references count="5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128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127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26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125">
      <pivotArea dataOnly="0" labelOnly="1" outline="0" fieldPosition="0">
        <references count="6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24">
      <pivotArea dataOnly="0" labelOnly="1" outline="0" fieldPosition="0">
        <references count="6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12" count="1">
            <x v="1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123">
      <pivotArea dataOnly="0" labelOnly="1" outline="0" fieldPosition="0">
        <references count="6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22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121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20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119">
      <pivotArea dataOnly="0" labelOnly="1" outline="0" fieldPosition="0">
        <references count="7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18">
      <pivotArea dataOnly="0" labelOnly="1" outline="0" fieldPosition="0">
        <references count="7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9" count="1">
            <x v="2"/>
          </reference>
          <reference field="12" count="1" selected="0">
            <x v="1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117">
      <pivotArea dataOnly="0" labelOnly="1" outline="0" fieldPosition="0">
        <references count="7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16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115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14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13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112">
      <pivotArea dataOnly="0" labelOnly="1" outline="0" fieldPosition="0">
        <references count="8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11">
      <pivotArea dataOnly="0" labelOnly="1" outline="0" fieldPosition="0">
        <references count="8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1"/>
          </reference>
          <reference field="18" count="1">
            <x v="0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110">
      <pivotArea dataOnly="0" labelOnly="1" outline="0" fieldPosition="0">
        <references count="8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09">
      <pivotArea type="topRight" dataOnly="0" labelOnly="1" outline="0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type="origin" dataOnly="0" labelOnly="1" outline="0" fieldPosition="0"/>
    </format>
    <format dxfId="105">
      <pivotArea field="6" type="button" dataOnly="0" labelOnly="1" outline="0" axis="axisRow" fieldPosition="0"/>
    </format>
    <format dxfId="104">
      <pivotArea field="7" type="button" dataOnly="0" labelOnly="1" outline="0" axis="axisRow" fieldPosition="1"/>
    </format>
    <format dxfId="103">
      <pivotArea field="8" type="button" dataOnly="0" labelOnly="1" outline="0" axis="axisRow" fieldPosition="2"/>
    </format>
    <format dxfId="102">
      <pivotArea field="34" type="button" dataOnly="0" labelOnly="1" outline="0" axis="axisRow" fieldPosition="3"/>
    </format>
    <format dxfId="101">
      <pivotArea field="50" type="button" dataOnly="0" labelOnly="1" outline="0" axis="axisRow" fieldPosition="4"/>
    </format>
    <format dxfId="100">
      <pivotArea field="12" type="button" dataOnly="0" labelOnly="1" outline="0" axis="axisRow" fieldPosition="5"/>
    </format>
    <format dxfId="99">
      <pivotArea field="9" type="button" dataOnly="0" labelOnly="1" outline="0" axis="axisRow" fieldPosition="6"/>
    </format>
    <format dxfId="98">
      <pivotArea field="18" type="button" dataOnly="0" labelOnly="1" outline="0" axis="axisRow" fieldPosition="7"/>
    </format>
    <format dxfId="97">
      <pivotArea dataOnly="0" labelOnly="1" outline="0" fieldPosition="0">
        <references count="1">
          <reference field="6" count="7">
            <x v="0"/>
            <x v="1"/>
            <x v="3"/>
            <x v="8"/>
            <x v="9"/>
            <x v="10"/>
            <x v="11"/>
          </reference>
        </references>
      </pivotArea>
    </format>
    <format dxfId="96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95">
      <pivotArea dataOnly="0" labelOnly="1" outline="0" fieldPosition="0">
        <references count="2">
          <reference field="6" count="1" selected="0">
            <x v="9"/>
          </reference>
          <reference field="7" count="1">
            <x v="1"/>
          </reference>
        </references>
      </pivotArea>
    </format>
    <format dxfId="94">
      <pivotArea dataOnly="0" labelOnly="1" outline="0" fieldPosition="0">
        <references count="2">
          <reference field="6" count="1" selected="0">
            <x v="10"/>
          </reference>
          <reference field="7" count="1">
            <x v="0"/>
          </reference>
        </references>
      </pivotArea>
    </format>
    <format dxfId="93">
      <pivotArea dataOnly="0" labelOnly="1" outline="0" fieldPosition="0">
        <references count="2">
          <reference field="6" count="1" selected="0">
            <x v="11"/>
          </reference>
          <reference field="7" count="1">
            <x v="1"/>
          </reference>
        </references>
      </pivotArea>
    </format>
    <format dxfId="92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91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90">
      <pivotArea dataOnly="0" labelOnly="1" outline="0" fieldPosition="0">
        <references count="3">
          <reference field="6" count="1" selected="0">
            <x v="9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89">
      <pivotArea dataOnly="0" labelOnly="1" outline="0" fieldPosition="0">
        <references count="3">
          <reference field="6" count="1" selected="0">
            <x v="10"/>
          </reference>
          <reference field="7" count="1" selected="0">
            <x v="0"/>
          </reference>
          <reference field="8" count="1">
            <x v="1"/>
          </reference>
        </references>
      </pivotArea>
    </format>
    <format dxfId="88">
      <pivotArea dataOnly="0" labelOnly="1" outline="0" fieldPosition="0">
        <references count="3">
          <reference field="6" count="1" selected="0">
            <x v="11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87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86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85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84">
      <pivotArea dataOnly="0" labelOnly="1" outline="0" fieldPosition="0">
        <references count="4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34" count="1">
            <x v="2"/>
          </reference>
        </references>
      </pivotArea>
    </format>
    <format dxfId="83">
      <pivotArea dataOnly="0" labelOnly="1" outline="0" fieldPosition="0">
        <references count="4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34" count="1">
            <x v="0"/>
          </reference>
        </references>
      </pivotArea>
    </format>
    <format dxfId="82">
      <pivotArea dataOnly="0" labelOnly="1" outline="0" fieldPosition="0">
        <references count="4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34" count="1">
            <x v="2"/>
          </reference>
        </references>
      </pivotArea>
    </format>
    <format dxfId="81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80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79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78">
      <pivotArea dataOnly="0" labelOnly="1" outline="0" fieldPosition="0">
        <references count="5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77">
      <pivotArea dataOnly="0" labelOnly="1" outline="0" fieldPosition="0">
        <references count="5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34" count="1" selected="0">
            <x v="0"/>
          </reference>
          <reference field="50" count="1">
            <x v="0"/>
          </reference>
        </references>
      </pivotArea>
    </format>
    <format dxfId="76">
      <pivotArea dataOnly="0" labelOnly="1" outline="0" fieldPosition="0">
        <references count="5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75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74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73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72">
      <pivotArea dataOnly="0" labelOnly="1" outline="0" fieldPosition="0">
        <references count="6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71">
      <pivotArea dataOnly="0" labelOnly="1" outline="0" fieldPosition="0">
        <references count="6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12" count="1">
            <x v="1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70">
      <pivotArea dataOnly="0" labelOnly="1" outline="0" fieldPosition="0">
        <references count="6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69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68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67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66">
      <pivotArea dataOnly="0" labelOnly="1" outline="0" fieldPosition="0">
        <references count="7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65">
      <pivotArea dataOnly="0" labelOnly="1" outline="0" fieldPosition="0">
        <references count="7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9" count="1">
            <x v="2"/>
          </reference>
          <reference field="12" count="1" selected="0">
            <x v="1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64">
      <pivotArea dataOnly="0" labelOnly="1" outline="0" fieldPosition="0">
        <references count="7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63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62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61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60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59">
      <pivotArea dataOnly="0" labelOnly="1" outline="0" fieldPosition="0">
        <references count="8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8">
      <pivotArea dataOnly="0" labelOnly="1" outline="0" fieldPosition="0">
        <references count="8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1"/>
          </reference>
          <reference field="18" count="1">
            <x v="0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57">
      <pivotArea dataOnly="0" labelOnly="1" outline="0" fieldPosition="0">
        <references count="8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6">
      <pivotArea type="topRight" dataOnly="0" labelOnly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6" type="button" dataOnly="0" labelOnly="1" outline="0" axis="axisRow" fieldPosition="0"/>
    </format>
    <format dxfId="51">
      <pivotArea field="7" type="button" dataOnly="0" labelOnly="1" outline="0" axis="axisRow" fieldPosition="1"/>
    </format>
    <format dxfId="50">
      <pivotArea field="8" type="button" dataOnly="0" labelOnly="1" outline="0" axis="axisRow" fieldPosition="2"/>
    </format>
    <format dxfId="49">
      <pivotArea field="34" type="button" dataOnly="0" labelOnly="1" outline="0" axis="axisRow" fieldPosition="3"/>
    </format>
    <format dxfId="48">
      <pivotArea field="50" type="button" dataOnly="0" labelOnly="1" outline="0" axis="axisRow" fieldPosition="4"/>
    </format>
    <format dxfId="47">
      <pivotArea field="12" type="button" dataOnly="0" labelOnly="1" outline="0" axis="axisRow" fieldPosition="5"/>
    </format>
    <format dxfId="46">
      <pivotArea field="9" type="button" dataOnly="0" labelOnly="1" outline="0" axis="axisRow" fieldPosition="6"/>
    </format>
    <format dxfId="45">
      <pivotArea field="18" type="button" dataOnly="0" labelOnly="1" outline="0" axis="axisRow" fieldPosition="7"/>
    </format>
    <format dxfId="44">
      <pivotArea dataOnly="0" labelOnly="1" outline="0" fieldPosition="0">
        <references count="1">
          <reference field="6" count="7">
            <x v="0"/>
            <x v="1"/>
            <x v="3"/>
            <x v="8"/>
            <x v="9"/>
            <x v="10"/>
            <x v="11"/>
          </reference>
        </references>
      </pivotArea>
    </format>
    <format dxfId="43">
      <pivotArea dataOnly="0" labelOnly="1" outline="0" fieldPosition="0">
        <references count="2">
          <reference field="6" count="1" selected="0">
            <x v="0"/>
          </reference>
          <reference field="7" count="1">
            <x v="0"/>
          </reference>
        </references>
      </pivotArea>
    </format>
    <format dxfId="42">
      <pivotArea dataOnly="0" labelOnly="1" outline="0" fieldPosition="0">
        <references count="2">
          <reference field="6" count="1" selected="0">
            <x v="9"/>
          </reference>
          <reference field="7" count="1">
            <x v="1"/>
          </reference>
        </references>
      </pivotArea>
    </format>
    <format dxfId="41">
      <pivotArea dataOnly="0" labelOnly="1" outline="0" fieldPosition="0">
        <references count="2">
          <reference field="6" count="1" selected="0">
            <x v="10"/>
          </reference>
          <reference field="7" count="1">
            <x v="0"/>
          </reference>
        </references>
      </pivotArea>
    </format>
    <format dxfId="40">
      <pivotArea dataOnly="0" labelOnly="1" outline="0" fieldPosition="0">
        <references count="2">
          <reference field="6" count="1" selected="0">
            <x v="11"/>
          </reference>
          <reference field="7" count="1">
            <x v="1"/>
          </reference>
        </references>
      </pivotArea>
    </format>
    <format dxfId="39">
      <pivotArea dataOnly="0" labelOnly="1" outline="0" fieldPosition="0">
        <references count="3">
          <reference field="6" count="1" selected="0">
            <x v="0"/>
          </reference>
          <reference field="7" count="1" selected="0">
            <x v="0"/>
          </reference>
          <reference field="8" count="1">
            <x v="2"/>
          </reference>
        </references>
      </pivotArea>
    </format>
    <format dxfId="38">
      <pivotArea dataOnly="0" labelOnly="1" outline="0" fieldPosition="0">
        <references count="3">
          <reference field="6" count="1" selected="0">
            <x v="8"/>
          </reference>
          <reference field="7" count="1" selected="0">
            <x v="0"/>
          </reference>
          <reference field="8" count="1">
            <x v="0"/>
          </reference>
        </references>
      </pivotArea>
    </format>
    <format dxfId="37">
      <pivotArea dataOnly="0" labelOnly="1" outline="0" fieldPosition="0">
        <references count="3">
          <reference field="6" count="1" selected="0">
            <x v="9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36">
      <pivotArea dataOnly="0" labelOnly="1" outline="0" fieldPosition="0">
        <references count="3">
          <reference field="6" count="1" selected="0">
            <x v="10"/>
          </reference>
          <reference field="7" count="1" selected="0">
            <x v="0"/>
          </reference>
          <reference field="8" count="1">
            <x v="1"/>
          </reference>
        </references>
      </pivotArea>
    </format>
    <format dxfId="35">
      <pivotArea dataOnly="0" labelOnly="1" outline="0" fieldPosition="0">
        <references count="3">
          <reference field="6" count="1" selected="0">
            <x v="11"/>
          </reference>
          <reference field="7" count="1" selected="0">
            <x v="1"/>
          </reference>
          <reference field="8" count="1">
            <x v="3"/>
          </reference>
        </references>
      </pivotArea>
    </format>
    <format dxfId="34">
      <pivotArea dataOnly="0" labelOnly="1" outline="0" fieldPosition="0">
        <references count="4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1"/>
          </reference>
        </references>
      </pivotArea>
    </format>
    <format dxfId="33">
      <pivotArea dataOnly="0" labelOnly="1" outline="0" fieldPosition="0">
        <references count="4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>
            <x v="2"/>
          </reference>
        </references>
      </pivotArea>
    </format>
    <format dxfId="32">
      <pivotArea dataOnly="0" labelOnly="1" outline="0" fieldPosition="0">
        <references count="4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>
            <x v="0"/>
          </reference>
        </references>
      </pivotArea>
    </format>
    <format dxfId="31">
      <pivotArea dataOnly="0" labelOnly="1" outline="0" fieldPosition="0">
        <references count="4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34" count="1">
            <x v="2"/>
          </reference>
        </references>
      </pivotArea>
    </format>
    <format dxfId="30">
      <pivotArea dataOnly="0" labelOnly="1" outline="0" fieldPosition="0">
        <references count="4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34" count="1">
            <x v="0"/>
          </reference>
        </references>
      </pivotArea>
    </format>
    <format dxfId="29">
      <pivotArea dataOnly="0" labelOnly="1" outline="0" fieldPosition="0">
        <references count="4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34" count="1">
            <x v="2"/>
          </reference>
        </references>
      </pivotArea>
    </format>
    <format dxfId="28">
      <pivotArea dataOnly="0" labelOnly="1" outline="0" fieldPosition="0">
        <references count="5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1"/>
          </reference>
          <reference field="50" count="1">
            <x v="2"/>
          </reference>
        </references>
      </pivotArea>
    </format>
    <format dxfId="27">
      <pivotArea dataOnly="0" labelOnly="1" outline="0" fieldPosition="0">
        <references count="5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26">
      <pivotArea dataOnly="0" labelOnly="1" outline="0" fieldPosition="0">
        <references count="5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34" count="1" selected="0">
            <x v="0"/>
          </reference>
          <reference field="50" count="1">
            <x v="1"/>
          </reference>
        </references>
      </pivotArea>
    </format>
    <format dxfId="25">
      <pivotArea dataOnly="0" labelOnly="1" outline="0" fieldPosition="0">
        <references count="5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24">
      <pivotArea dataOnly="0" labelOnly="1" outline="0" fieldPosition="0">
        <references count="5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34" count="1" selected="0">
            <x v="0"/>
          </reference>
          <reference field="50" count="1">
            <x v="0"/>
          </reference>
        </references>
      </pivotArea>
    </format>
    <format dxfId="23">
      <pivotArea dataOnly="0" labelOnly="1" outline="0" fieldPosition="0">
        <references count="5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34" count="1" selected="0">
            <x v="2"/>
          </reference>
          <reference field="50" count="1">
            <x v="3"/>
          </reference>
        </references>
      </pivotArea>
    </format>
    <format dxfId="22">
      <pivotArea dataOnly="0" labelOnly="1" outline="0" fieldPosition="0">
        <references count="6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21">
      <pivotArea dataOnly="0" labelOnly="1" outline="0" fieldPosition="0">
        <references count="6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20">
      <pivotArea dataOnly="0" labelOnly="1" outline="0" fieldPosition="0">
        <references count="6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12" count="1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19">
      <pivotArea dataOnly="0" labelOnly="1" outline="0" fieldPosition="0">
        <references count="6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8">
      <pivotArea dataOnly="0" labelOnly="1" outline="0" fieldPosition="0">
        <references count="6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12" count="1">
            <x v="1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17">
      <pivotArea dataOnly="0" labelOnly="1" outline="0" fieldPosition="0">
        <references count="6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12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6">
      <pivotArea dataOnly="0" labelOnly="1" outline="0" fieldPosition="0">
        <references count="7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1"/>
          </reference>
          <reference field="12" count="1" selected="0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15">
      <pivotArea dataOnly="0" labelOnly="1" outline="0" fieldPosition="0">
        <references count="7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4">
      <pivotArea dataOnly="0" labelOnly="1" outline="0" fieldPosition="0">
        <references count="7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>
            <x v="0"/>
          </reference>
          <reference field="12" count="1" selected="0">
            <x v="0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13">
      <pivotArea dataOnly="0" labelOnly="1" outline="0" fieldPosition="0">
        <references count="7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2">
      <pivotArea dataOnly="0" labelOnly="1" outline="0" fieldPosition="0">
        <references count="7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9" count="1">
            <x v="2"/>
          </reference>
          <reference field="12" count="1" selected="0">
            <x v="1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11">
      <pivotArea dataOnly="0" labelOnly="1" outline="0" fieldPosition="0">
        <references count="7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9" count="1">
            <x v="3"/>
          </reference>
          <reference field="12" count="1" selected="0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10">
      <pivotArea dataOnly="0" labelOnly="1" outline="0" fieldPosition="0">
        <references count="8">
          <reference field="6" count="1" selected="0">
            <x v="0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1"/>
          </reference>
          <reference field="12" count="1" selected="0">
            <x v="0"/>
          </reference>
          <reference field="18" count="1">
            <x v="0"/>
          </reference>
          <reference field="34" count="1" selected="0">
            <x v="1"/>
          </reference>
          <reference field="50" count="1" selected="0">
            <x v="2"/>
          </reference>
        </references>
      </pivotArea>
    </format>
    <format dxfId="9">
      <pivotArea dataOnly="0" labelOnly="1" outline="0" fieldPosition="0">
        <references count="8">
          <reference field="6" count="1" selected="0">
            <x v="1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8">
      <pivotArea dataOnly="0" labelOnly="1" outline="0" fieldPosition="0">
        <references count="8">
          <reference field="6" count="1" selected="0">
            <x v="3"/>
          </reference>
          <reference field="7" count="1" selected="0">
            <x v="0"/>
          </reference>
          <reference field="8" count="1" selected="0">
            <x v="2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7">
      <pivotArea dataOnly="0" labelOnly="1" outline="0" fieldPosition="0">
        <references count="8">
          <reference field="6" count="1" selected="0">
            <x v="8"/>
          </reference>
          <reference field="7" count="1" selected="0">
            <x v="0"/>
          </reference>
          <reference field="8" count="1" selected="0">
            <x v="0"/>
          </reference>
          <reference field="9" count="1" selected="0">
            <x v="0"/>
          </reference>
          <reference field="12" count="1" selected="0">
            <x v="0"/>
          </reference>
          <reference field="18" count="1">
            <x v="1"/>
          </reference>
          <reference field="34" count="1" selected="0">
            <x v="0"/>
          </reference>
          <reference field="50" count="1" selected="0">
            <x v="1"/>
          </reference>
        </references>
      </pivotArea>
    </format>
    <format dxfId="6">
      <pivotArea dataOnly="0" labelOnly="1" outline="0" fieldPosition="0">
        <references count="8">
          <reference field="6" count="1" selected="0">
            <x v="9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5">
      <pivotArea dataOnly="0" labelOnly="1" outline="0" fieldPosition="0">
        <references count="8">
          <reference field="6" count="1" selected="0">
            <x v="10"/>
          </reference>
          <reference field="7" count="1" selected="0">
            <x v="0"/>
          </reference>
          <reference field="8" count="1" selected="0">
            <x v="1"/>
          </reference>
          <reference field="9" count="1" selected="0">
            <x v="2"/>
          </reference>
          <reference field="12" count="1" selected="0">
            <x v="1"/>
          </reference>
          <reference field="18" count="1">
            <x v="0"/>
          </reference>
          <reference field="34" count="1" selected="0">
            <x v="0"/>
          </reference>
          <reference field="50" count="1" selected="0">
            <x v="0"/>
          </reference>
        </references>
      </pivotArea>
    </format>
    <format dxfId="4">
      <pivotArea dataOnly="0" labelOnly="1" outline="0" fieldPosition="0">
        <references count="8">
          <reference field="6" count="1" selected="0">
            <x v="11"/>
          </reference>
          <reference field="7" count="1" selected="0">
            <x v="1"/>
          </reference>
          <reference field="8" count="1" selected="0">
            <x v="3"/>
          </reference>
          <reference field="9" count="1" selected="0">
            <x v="3"/>
          </reference>
          <reference field="12" count="1" selected="0">
            <x v="2"/>
          </reference>
          <reference field="18" count="1">
            <x v="2"/>
          </reference>
          <reference field="34" count="1" selected="0">
            <x v="2"/>
          </reference>
          <reference field="50" count="1" selected="0">
            <x v="3"/>
          </reference>
        </references>
      </pivotArea>
    </format>
    <format dxfId="3">
      <pivotArea type="topRight" dataOnly="0" labelOnly="1" outline="0" fieldPosition="0"/>
    </format>
  </formats>
  <pivotTableStyleInfo name="PivotStyleLight16" showRowHeaders="1" showColHeaders="1" showRowStripes="0" showColStripes="0" showLastColumn="1"/>
  <filters count="1">
    <filter fld="6" type="captionNotEqual" evalOrder="-1" id="3" stringValue1="(空白)">
      <autoFilter ref="A1">
        <filterColumn colId="0">
          <customFilters>
            <customFilter operator="notEqual" val="(空白)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007"/>
  <sheetViews>
    <sheetView workbookViewId="0">
      <pane xSplit="9" ySplit="1" topLeftCell="AE2" activePane="bottomRight" state="frozen"/>
      <selection pane="topRight" activeCell="H1" sqref="H1"/>
      <selection pane="bottomLeft" activeCell="A2" sqref="A2"/>
      <selection pane="bottomRight" activeCell="C2" sqref="C2:BM8"/>
    </sheetView>
  </sheetViews>
  <sheetFormatPr defaultColWidth="7.85546875" defaultRowHeight="12.75" x14ac:dyDescent="0.2"/>
  <cols>
    <col min="1" max="2" width="9.140625" style="6" bestFit="1" customWidth="1"/>
    <col min="3" max="3" width="5.7109375" style="6" bestFit="1" customWidth="1"/>
    <col min="4" max="4" width="15.28515625" style="6" bestFit="1" customWidth="1"/>
    <col min="5" max="5" width="4.5703125" style="6" bestFit="1" customWidth="1"/>
    <col min="6" max="6" width="9.140625" style="6" bestFit="1" customWidth="1"/>
    <col min="7" max="7" width="9.7109375" style="6" bestFit="1" customWidth="1"/>
    <col min="8" max="8" width="5.85546875" style="6" bestFit="1" customWidth="1"/>
    <col min="9" max="9" width="50.85546875" style="6" bestFit="1" customWidth="1"/>
    <col min="10" max="10" width="105.140625" style="6" bestFit="1" customWidth="1"/>
    <col min="11" max="11" width="9.85546875" style="6" bestFit="1" customWidth="1"/>
    <col min="12" max="12" width="9.140625" style="6" bestFit="1" customWidth="1"/>
    <col min="13" max="13" width="7.28515625" style="6" bestFit="1" customWidth="1"/>
    <col min="14" max="14" width="7.7109375" style="6" bestFit="1" customWidth="1"/>
    <col min="15" max="15" width="6.28515625" style="6" bestFit="1" customWidth="1"/>
    <col min="16" max="16" width="11.140625" style="6" bestFit="1" customWidth="1"/>
    <col min="17" max="17" width="7.7109375" style="6" bestFit="1" customWidth="1"/>
    <col min="18" max="18" width="28.42578125" style="6" bestFit="1" customWidth="1"/>
    <col min="19" max="20" width="13.140625" style="6" bestFit="1" customWidth="1"/>
    <col min="21" max="21" width="14" style="6" bestFit="1" customWidth="1"/>
    <col min="22" max="22" width="7.28515625" style="6" bestFit="1" customWidth="1"/>
    <col min="23" max="23" width="11.140625" style="6" bestFit="1" customWidth="1"/>
    <col min="24" max="24" width="9.140625" style="6" bestFit="1" customWidth="1"/>
    <col min="25" max="25" width="6.28515625" style="6" bestFit="1" customWidth="1"/>
    <col min="26" max="26" width="5.85546875" style="6" bestFit="1" customWidth="1"/>
    <col min="27" max="27" width="6.28515625" style="6" bestFit="1" customWidth="1"/>
    <col min="28" max="28" width="5.85546875" style="6" bestFit="1" customWidth="1"/>
    <col min="29" max="29" width="4.28515625" style="6" bestFit="1" customWidth="1"/>
    <col min="30" max="30" width="11.28515625" style="6" bestFit="1" customWidth="1"/>
    <col min="31" max="31" width="5.85546875" style="6" bestFit="1" customWidth="1"/>
    <col min="32" max="32" width="6.7109375" style="6" bestFit="1" customWidth="1"/>
    <col min="33" max="34" width="9.140625" style="6" bestFit="1" customWidth="1"/>
    <col min="35" max="37" width="11.140625" style="6" bestFit="1" customWidth="1"/>
    <col min="38" max="38" width="19.5703125" style="6" bestFit="1" customWidth="1"/>
    <col min="39" max="39" width="10.5703125" style="6" bestFit="1" customWidth="1"/>
    <col min="40" max="40" width="13.140625" style="6" bestFit="1" customWidth="1"/>
    <col min="41" max="41" width="19.140625" style="6" bestFit="1" customWidth="1"/>
    <col min="42" max="42" width="5.42578125" style="6" bestFit="1" customWidth="1"/>
    <col min="43" max="43" width="11.140625" style="6" bestFit="1" customWidth="1"/>
    <col min="44" max="44" width="15.28515625" style="6" bestFit="1" customWidth="1"/>
    <col min="45" max="45" width="13.140625" style="6" bestFit="1" customWidth="1"/>
    <col min="46" max="46" width="17.42578125" style="6" bestFit="1" customWidth="1"/>
    <col min="47" max="47" width="13.140625" style="6" bestFit="1" customWidth="1"/>
    <col min="48" max="48" width="17.42578125" style="6" bestFit="1" customWidth="1"/>
    <col min="49" max="50" width="9.140625" style="6" bestFit="1" customWidth="1"/>
    <col min="51" max="51" width="7.28515625" style="6" bestFit="1" customWidth="1"/>
    <col min="52" max="53" width="6.42578125" style="6" bestFit="1" customWidth="1"/>
    <col min="54" max="54" width="43.42578125" style="6" bestFit="1" customWidth="1"/>
    <col min="55" max="56" width="10.42578125" style="6" bestFit="1" customWidth="1"/>
    <col min="57" max="57" width="10.140625" style="6" bestFit="1" customWidth="1"/>
    <col min="58" max="58" width="10.5703125" style="6" bestFit="1" customWidth="1"/>
    <col min="59" max="60" width="10.42578125" style="6" bestFit="1" customWidth="1"/>
    <col min="61" max="61" width="10.5703125" style="6" bestFit="1" customWidth="1"/>
    <col min="62" max="62" width="11" style="6" bestFit="1" customWidth="1"/>
    <col min="63" max="64" width="10.42578125" style="6" bestFit="1" customWidth="1"/>
    <col min="65" max="65" width="9.140625" style="6" bestFit="1" customWidth="1"/>
    <col min="66" max="16384" width="7.85546875" style="6"/>
  </cols>
  <sheetData>
    <row r="1" spans="1:65" s="5" customFormat="1" ht="51" x14ac:dyDescent="0.2">
      <c r="A1" s="3" t="s">
        <v>95</v>
      </c>
      <c r="B1" s="22" t="s">
        <v>102</v>
      </c>
      <c r="C1" s="3" t="s">
        <v>0</v>
      </c>
      <c r="D1" s="3" t="s">
        <v>1</v>
      </c>
      <c r="E1" s="3" t="s">
        <v>2</v>
      </c>
      <c r="F1" s="4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18</v>
      </c>
      <c r="W1" s="3" t="s">
        <v>19</v>
      </c>
      <c r="X1" s="3" t="s">
        <v>20</v>
      </c>
      <c r="Y1" s="3" t="s">
        <v>21</v>
      </c>
      <c r="Z1" s="3" t="s">
        <v>22</v>
      </c>
      <c r="AA1" s="3" t="s">
        <v>23</v>
      </c>
      <c r="AB1" s="3" t="s">
        <v>22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4" t="s">
        <v>29</v>
      </c>
      <c r="AI1" s="3" t="s">
        <v>30</v>
      </c>
      <c r="AJ1" s="3" t="s">
        <v>31</v>
      </c>
      <c r="AK1" s="3" t="s">
        <v>31</v>
      </c>
      <c r="AL1" s="3" t="s">
        <v>32</v>
      </c>
      <c r="AM1" s="3" t="s">
        <v>33</v>
      </c>
      <c r="AN1" s="3" t="s">
        <v>34</v>
      </c>
      <c r="AO1" s="3" t="s">
        <v>35</v>
      </c>
      <c r="AP1" s="3" t="s">
        <v>36</v>
      </c>
      <c r="AQ1" s="3" t="s">
        <v>37</v>
      </c>
      <c r="AR1" s="3" t="s">
        <v>38</v>
      </c>
      <c r="AS1" s="3" t="s">
        <v>39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44</v>
      </c>
      <c r="AY1" s="3" t="s">
        <v>45</v>
      </c>
      <c r="AZ1" s="3" t="s">
        <v>46</v>
      </c>
      <c r="BA1" s="3" t="s">
        <v>47</v>
      </c>
      <c r="BB1" s="3" t="s">
        <v>48</v>
      </c>
      <c r="BC1" s="3" t="s">
        <v>49</v>
      </c>
      <c r="BD1" s="3" t="s">
        <v>50</v>
      </c>
      <c r="BE1" s="3" t="s">
        <v>51</v>
      </c>
      <c r="BF1" s="3" t="s">
        <v>52</v>
      </c>
      <c r="BG1" s="3" t="s">
        <v>53</v>
      </c>
      <c r="BH1" s="3" t="s">
        <v>54</v>
      </c>
      <c r="BI1" s="3" t="s">
        <v>55</v>
      </c>
      <c r="BJ1" s="3" t="s">
        <v>56</v>
      </c>
      <c r="BK1" s="3" t="s">
        <v>57</v>
      </c>
      <c r="BL1" s="3" t="s">
        <v>58</v>
      </c>
      <c r="BM1" s="3" t="s">
        <v>59</v>
      </c>
    </row>
    <row r="2" spans="1:65" ht="16.5" x14ac:dyDescent="0.2">
      <c r="A2" s="6" t="str">
        <f t="shared" ref="A2:A59" si="0">LEN(G2)&amp;LEFT(G2,1)</f>
        <v>64</v>
      </c>
      <c r="B2" s="23" t="s">
        <v>104</v>
      </c>
      <c r="C2" t="s">
        <v>180</v>
      </c>
      <c r="D2" t="s">
        <v>181</v>
      </c>
      <c r="E2" t="s">
        <v>182</v>
      </c>
      <c r="F2" t="s">
        <v>183</v>
      </c>
      <c r="G2" t="s">
        <v>184</v>
      </c>
      <c r="H2" t="s">
        <v>93</v>
      </c>
      <c r="I2" t="s">
        <v>185</v>
      </c>
      <c r="J2" t="s">
        <v>186</v>
      </c>
      <c r="K2" s="81">
        <v>45285</v>
      </c>
      <c r="L2" s="82">
        <v>6.5150462962959996E-2</v>
      </c>
      <c r="M2" t="s">
        <v>112</v>
      </c>
      <c r="N2" t="s">
        <v>187</v>
      </c>
      <c r="O2" t="s">
        <v>188</v>
      </c>
      <c r="P2" t="s">
        <v>189</v>
      </c>
      <c r="Q2" t="s">
        <v>190</v>
      </c>
      <c r="R2" t="s">
        <v>191</v>
      </c>
      <c r="S2" t="s">
        <v>192</v>
      </c>
      <c r="T2" t="s">
        <v>193</v>
      </c>
      <c r="U2" t="s">
        <v>194</v>
      </c>
      <c r="V2" t="s">
        <v>195</v>
      </c>
      <c r="W2" t="s">
        <v>182</v>
      </c>
      <c r="X2" t="s">
        <v>182</v>
      </c>
      <c r="Y2" s="83">
        <v>0</v>
      </c>
      <c r="Z2" t="s">
        <v>182</v>
      </c>
      <c r="AA2" s="83">
        <v>0</v>
      </c>
      <c r="AB2" t="s">
        <v>182</v>
      </c>
      <c r="AC2" t="s">
        <v>182</v>
      </c>
      <c r="AD2" t="s">
        <v>182</v>
      </c>
      <c r="AE2" s="84">
        <v>0</v>
      </c>
      <c r="AF2" s="84">
        <v>0</v>
      </c>
      <c r="AG2" t="s">
        <v>196</v>
      </c>
      <c r="AH2" t="s">
        <v>197</v>
      </c>
      <c r="AI2" t="s">
        <v>111</v>
      </c>
      <c r="AJ2" t="s">
        <v>182</v>
      </c>
      <c r="AK2" t="s">
        <v>182</v>
      </c>
      <c r="AL2" t="s">
        <v>182</v>
      </c>
      <c r="AM2" t="s">
        <v>182</v>
      </c>
      <c r="AN2" t="s">
        <v>182</v>
      </c>
      <c r="AO2" t="s">
        <v>182</v>
      </c>
      <c r="AP2" t="s">
        <v>182</v>
      </c>
      <c r="AQ2" t="s">
        <v>182</v>
      </c>
      <c r="AR2" t="s">
        <v>182</v>
      </c>
      <c r="AS2" t="s">
        <v>182</v>
      </c>
      <c r="AT2" t="s">
        <v>182</v>
      </c>
      <c r="AU2" t="s">
        <v>182</v>
      </c>
      <c r="AV2" t="s">
        <v>182</v>
      </c>
      <c r="AW2" t="s">
        <v>182</v>
      </c>
      <c r="AX2" t="s">
        <v>182</v>
      </c>
      <c r="AY2" t="s">
        <v>198</v>
      </c>
      <c r="AZ2" t="s">
        <v>182</v>
      </c>
      <c r="BA2" t="s">
        <v>182</v>
      </c>
      <c r="BB2" t="s">
        <v>199</v>
      </c>
      <c r="BC2" t="s">
        <v>93</v>
      </c>
      <c r="BD2" t="s">
        <v>93</v>
      </c>
      <c r="BE2" t="s">
        <v>93</v>
      </c>
      <c r="BF2" t="s">
        <v>182</v>
      </c>
      <c r="BG2" t="s">
        <v>182</v>
      </c>
      <c r="BH2" t="s">
        <v>93</v>
      </c>
      <c r="BI2" t="s">
        <v>93</v>
      </c>
      <c r="BJ2" t="s">
        <v>182</v>
      </c>
      <c r="BK2" t="s">
        <v>182</v>
      </c>
      <c r="BL2" t="s">
        <v>182</v>
      </c>
      <c r="BM2" t="s">
        <v>200</v>
      </c>
    </row>
    <row r="3" spans="1:65" ht="16.5" x14ac:dyDescent="0.2">
      <c r="A3" s="6" t="str">
        <f t="shared" si="0"/>
        <v>64</v>
      </c>
      <c r="B3" s="23" t="s">
        <v>104</v>
      </c>
      <c r="C3" t="s">
        <v>180</v>
      </c>
      <c r="D3" t="s">
        <v>181</v>
      </c>
      <c r="E3" t="s">
        <v>182</v>
      </c>
      <c r="F3" t="s">
        <v>183</v>
      </c>
      <c r="G3" t="s">
        <v>201</v>
      </c>
      <c r="H3" t="s">
        <v>93</v>
      </c>
      <c r="I3" t="s">
        <v>202</v>
      </c>
      <c r="J3" t="s">
        <v>203</v>
      </c>
      <c r="K3" s="81">
        <v>45285</v>
      </c>
      <c r="L3" s="82">
        <v>0.10648148148148</v>
      </c>
      <c r="M3" t="s">
        <v>112</v>
      </c>
      <c r="N3" t="s">
        <v>187</v>
      </c>
      <c r="O3" t="s">
        <v>188</v>
      </c>
      <c r="P3" t="s">
        <v>189</v>
      </c>
      <c r="Q3" t="s">
        <v>204</v>
      </c>
      <c r="R3" t="s">
        <v>205</v>
      </c>
      <c r="S3" t="s">
        <v>206</v>
      </c>
      <c r="T3" t="s">
        <v>207</v>
      </c>
      <c r="U3" t="s">
        <v>208</v>
      </c>
      <c r="V3" t="s">
        <v>209</v>
      </c>
      <c r="W3" t="s">
        <v>182</v>
      </c>
      <c r="X3" t="s">
        <v>182</v>
      </c>
      <c r="Y3" s="83">
        <v>0</v>
      </c>
      <c r="Z3" t="s">
        <v>182</v>
      </c>
      <c r="AA3" s="83">
        <v>0</v>
      </c>
      <c r="AB3" t="s">
        <v>182</v>
      </c>
      <c r="AC3" t="s">
        <v>182</v>
      </c>
      <c r="AD3" t="s">
        <v>182</v>
      </c>
      <c r="AE3" s="84">
        <v>0</v>
      </c>
      <c r="AF3" s="84">
        <v>0</v>
      </c>
      <c r="AG3" t="s">
        <v>196</v>
      </c>
      <c r="AH3" t="s">
        <v>197</v>
      </c>
      <c r="AI3" t="s">
        <v>111</v>
      </c>
      <c r="AJ3" t="s">
        <v>182</v>
      </c>
      <c r="AK3" t="s">
        <v>182</v>
      </c>
      <c r="AL3" t="s">
        <v>182</v>
      </c>
      <c r="AM3" t="s">
        <v>182</v>
      </c>
      <c r="AN3" t="s">
        <v>182</v>
      </c>
      <c r="AO3" t="s">
        <v>182</v>
      </c>
      <c r="AP3" t="s">
        <v>182</v>
      </c>
      <c r="AQ3" t="s">
        <v>182</v>
      </c>
      <c r="AR3" t="s">
        <v>182</v>
      </c>
      <c r="AS3" t="s">
        <v>182</v>
      </c>
      <c r="AT3" t="s">
        <v>182</v>
      </c>
      <c r="AU3" t="s">
        <v>182</v>
      </c>
      <c r="AV3" t="s">
        <v>182</v>
      </c>
      <c r="AW3" t="s">
        <v>182</v>
      </c>
      <c r="AX3" t="s">
        <v>182</v>
      </c>
      <c r="AY3" t="s">
        <v>210</v>
      </c>
      <c r="AZ3" t="s">
        <v>182</v>
      </c>
      <c r="BA3" t="s">
        <v>182</v>
      </c>
      <c r="BB3" t="s">
        <v>199</v>
      </c>
      <c r="BC3" t="s">
        <v>93</v>
      </c>
      <c r="BD3" t="s">
        <v>93</v>
      </c>
      <c r="BE3" t="s">
        <v>93</v>
      </c>
      <c r="BF3" t="s">
        <v>182</v>
      </c>
      <c r="BG3" t="s">
        <v>182</v>
      </c>
      <c r="BH3" t="s">
        <v>93</v>
      </c>
      <c r="BI3" t="s">
        <v>93</v>
      </c>
      <c r="BJ3" t="s">
        <v>182</v>
      </c>
      <c r="BK3" t="s">
        <v>182</v>
      </c>
      <c r="BL3" t="s">
        <v>182</v>
      </c>
      <c r="BM3" t="s">
        <v>200</v>
      </c>
    </row>
    <row r="4" spans="1:65" ht="16.5" x14ac:dyDescent="0.2">
      <c r="A4" s="6" t="str">
        <f t="shared" si="0"/>
        <v>64</v>
      </c>
      <c r="B4" s="23" t="s">
        <v>104</v>
      </c>
      <c r="C4" t="s">
        <v>180</v>
      </c>
      <c r="D4" t="s">
        <v>181</v>
      </c>
      <c r="E4" t="s">
        <v>182</v>
      </c>
      <c r="F4" t="s">
        <v>183</v>
      </c>
      <c r="G4" t="s">
        <v>211</v>
      </c>
      <c r="H4" t="s">
        <v>93</v>
      </c>
      <c r="I4" t="s">
        <v>212</v>
      </c>
      <c r="J4" t="s">
        <v>182</v>
      </c>
      <c r="K4" s="81">
        <v>45285</v>
      </c>
      <c r="L4" s="82">
        <v>0.11353009259259</v>
      </c>
      <c r="M4" t="s">
        <v>112</v>
      </c>
      <c r="N4" t="s">
        <v>187</v>
      </c>
      <c r="O4" t="s">
        <v>188</v>
      </c>
      <c r="P4" t="s">
        <v>189</v>
      </c>
      <c r="Q4" t="s">
        <v>204</v>
      </c>
      <c r="R4" t="s">
        <v>205</v>
      </c>
      <c r="S4" t="s">
        <v>206</v>
      </c>
      <c r="T4" t="s">
        <v>207</v>
      </c>
      <c r="U4" t="s">
        <v>213</v>
      </c>
      <c r="V4" t="s">
        <v>209</v>
      </c>
      <c r="W4" t="s">
        <v>182</v>
      </c>
      <c r="X4" t="s">
        <v>182</v>
      </c>
      <c r="Y4" s="83">
        <v>0</v>
      </c>
      <c r="Z4" t="s">
        <v>182</v>
      </c>
      <c r="AA4" s="83">
        <v>0</v>
      </c>
      <c r="AB4" t="s">
        <v>182</v>
      </c>
      <c r="AC4" t="s">
        <v>182</v>
      </c>
      <c r="AD4" t="s">
        <v>182</v>
      </c>
      <c r="AE4" s="84">
        <v>0</v>
      </c>
      <c r="AF4" s="84">
        <v>0</v>
      </c>
      <c r="AG4" t="s">
        <v>196</v>
      </c>
      <c r="AH4" t="s">
        <v>197</v>
      </c>
      <c r="AI4" t="s">
        <v>182</v>
      </c>
      <c r="AJ4" t="s">
        <v>182</v>
      </c>
      <c r="AK4" t="s">
        <v>182</v>
      </c>
      <c r="AL4" t="s">
        <v>182</v>
      </c>
      <c r="AM4" t="s">
        <v>182</v>
      </c>
      <c r="AN4" t="s">
        <v>182</v>
      </c>
      <c r="AO4" t="s">
        <v>182</v>
      </c>
      <c r="AP4" t="s">
        <v>182</v>
      </c>
      <c r="AQ4" t="s">
        <v>182</v>
      </c>
      <c r="AR4" t="s">
        <v>182</v>
      </c>
      <c r="AS4" t="s">
        <v>182</v>
      </c>
      <c r="AT4" t="s">
        <v>182</v>
      </c>
      <c r="AU4" t="s">
        <v>182</v>
      </c>
      <c r="AV4" t="s">
        <v>182</v>
      </c>
      <c r="AW4" t="s">
        <v>182</v>
      </c>
      <c r="AX4" t="s">
        <v>182</v>
      </c>
      <c r="AY4" t="s">
        <v>210</v>
      </c>
      <c r="AZ4" t="s">
        <v>182</v>
      </c>
      <c r="BA4" t="s">
        <v>182</v>
      </c>
      <c r="BB4" t="s">
        <v>199</v>
      </c>
      <c r="BC4" t="s">
        <v>93</v>
      </c>
      <c r="BD4" t="s">
        <v>93</v>
      </c>
      <c r="BE4" t="s">
        <v>93</v>
      </c>
      <c r="BF4" t="s">
        <v>182</v>
      </c>
      <c r="BG4" t="s">
        <v>182</v>
      </c>
      <c r="BH4" t="s">
        <v>93</v>
      </c>
      <c r="BI4" t="s">
        <v>93</v>
      </c>
      <c r="BJ4" t="s">
        <v>182</v>
      </c>
      <c r="BK4" t="s">
        <v>182</v>
      </c>
      <c r="BL4" t="s">
        <v>182</v>
      </c>
      <c r="BM4" t="s">
        <v>200</v>
      </c>
    </row>
    <row r="5" spans="1:65" ht="16.5" x14ac:dyDescent="0.2">
      <c r="A5" s="6" t="str">
        <f t="shared" si="0"/>
        <v>64</v>
      </c>
      <c r="B5" s="23" t="s">
        <v>104</v>
      </c>
      <c r="C5" t="s">
        <v>180</v>
      </c>
      <c r="D5" t="s">
        <v>181</v>
      </c>
      <c r="E5" t="s">
        <v>182</v>
      </c>
      <c r="F5" t="s">
        <v>183</v>
      </c>
      <c r="G5" t="s">
        <v>214</v>
      </c>
      <c r="H5" t="s">
        <v>93</v>
      </c>
      <c r="I5" t="s">
        <v>215</v>
      </c>
      <c r="J5" t="s">
        <v>203</v>
      </c>
      <c r="K5" s="81">
        <v>45285</v>
      </c>
      <c r="L5" s="82">
        <v>0.1171875</v>
      </c>
      <c r="M5" t="s">
        <v>112</v>
      </c>
      <c r="N5" t="s">
        <v>187</v>
      </c>
      <c r="O5" t="s">
        <v>188</v>
      </c>
      <c r="P5" t="s">
        <v>189</v>
      </c>
      <c r="Q5" t="s">
        <v>204</v>
      </c>
      <c r="R5" t="s">
        <v>205</v>
      </c>
      <c r="S5" t="s">
        <v>206</v>
      </c>
      <c r="T5" t="s">
        <v>207</v>
      </c>
      <c r="U5" t="s">
        <v>216</v>
      </c>
      <c r="V5" t="s">
        <v>209</v>
      </c>
      <c r="W5" t="s">
        <v>182</v>
      </c>
      <c r="X5" t="s">
        <v>182</v>
      </c>
      <c r="Y5" s="83">
        <v>0</v>
      </c>
      <c r="Z5" t="s">
        <v>182</v>
      </c>
      <c r="AA5" s="83">
        <v>0</v>
      </c>
      <c r="AB5" t="s">
        <v>182</v>
      </c>
      <c r="AC5" t="s">
        <v>182</v>
      </c>
      <c r="AD5" t="s">
        <v>182</v>
      </c>
      <c r="AE5" s="84">
        <v>0</v>
      </c>
      <c r="AF5" s="84">
        <v>0</v>
      </c>
      <c r="AG5" t="s">
        <v>196</v>
      </c>
      <c r="AH5" t="s">
        <v>197</v>
      </c>
      <c r="AI5" t="s">
        <v>182</v>
      </c>
      <c r="AJ5" t="s">
        <v>182</v>
      </c>
      <c r="AK5" t="s">
        <v>182</v>
      </c>
      <c r="AL5" t="s">
        <v>182</v>
      </c>
      <c r="AM5" t="s">
        <v>182</v>
      </c>
      <c r="AN5" t="s">
        <v>182</v>
      </c>
      <c r="AO5" t="s">
        <v>182</v>
      </c>
      <c r="AP5" t="s">
        <v>182</v>
      </c>
      <c r="AQ5" t="s">
        <v>182</v>
      </c>
      <c r="AR5" t="s">
        <v>182</v>
      </c>
      <c r="AS5" t="s">
        <v>182</v>
      </c>
      <c r="AT5" t="s">
        <v>182</v>
      </c>
      <c r="AU5" t="s">
        <v>182</v>
      </c>
      <c r="AV5" t="s">
        <v>182</v>
      </c>
      <c r="AW5" t="s">
        <v>182</v>
      </c>
      <c r="AX5" t="s">
        <v>182</v>
      </c>
      <c r="AY5" t="s">
        <v>210</v>
      </c>
      <c r="AZ5" t="s">
        <v>182</v>
      </c>
      <c r="BA5" t="s">
        <v>182</v>
      </c>
      <c r="BB5" t="s">
        <v>199</v>
      </c>
      <c r="BC5" t="s">
        <v>93</v>
      </c>
      <c r="BD5" t="s">
        <v>93</v>
      </c>
      <c r="BE5" t="s">
        <v>93</v>
      </c>
      <c r="BF5" t="s">
        <v>182</v>
      </c>
      <c r="BG5" t="s">
        <v>182</v>
      </c>
      <c r="BH5" t="s">
        <v>93</v>
      </c>
      <c r="BI5" t="s">
        <v>93</v>
      </c>
      <c r="BJ5" t="s">
        <v>182</v>
      </c>
      <c r="BK5" t="s">
        <v>182</v>
      </c>
      <c r="BL5" t="s">
        <v>182</v>
      </c>
      <c r="BM5" t="s">
        <v>200</v>
      </c>
    </row>
    <row r="6" spans="1:65" ht="16.5" x14ac:dyDescent="0.2">
      <c r="A6" s="6" t="str">
        <f t="shared" si="0"/>
        <v>61</v>
      </c>
      <c r="B6" s="23" t="s">
        <v>104</v>
      </c>
      <c r="C6" t="s">
        <v>180</v>
      </c>
      <c r="D6" t="s">
        <v>217</v>
      </c>
      <c r="E6" t="s">
        <v>182</v>
      </c>
      <c r="F6" t="s">
        <v>183</v>
      </c>
      <c r="G6" t="s">
        <v>218</v>
      </c>
      <c r="H6" t="s">
        <v>93</v>
      </c>
      <c r="I6" t="s">
        <v>219</v>
      </c>
      <c r="J6" t="s">
        <v>220</v>
      </c>
      <c r="K6" s="81">
        <v>45285</v>
      </c>
      <c r="L6" s="82">
        <v>0.26359953703703998</v>
      </c>
      <c r="M6" t="s">
        <v>221</v>
      </c>
      <c r="N6" t="s">
        <v>187</v>
      </c>
      <c r="O6" t="s">
        <v>222</v>
      </c>
      <c r="P6" t="s">
        <v>223</v>
      </c>
      <c r="Q6" t="s">
        <v>224</v>
      </c>
      <c r="R6" t="s">
        <v>225</v>
      </c>
      <c r="S6" t="s">
        <v>226</v>
      </c>
      <c r="T6" t="s">
        <v>227</v>
      </c>
      <c r="U6" t="s">
        <v>228</v>
      </c>
      <c r="V6" t="s">
        <v>182</v>
      </c>
      <c r="W6" t="s">
        <v>182</v>
      </c>
      <c r="X6" t="s">
        <v>182</v>
      </c>
      <c r="Y6" s="83">
        <v>0</v>
      </c>
      <c r="Z6" t="s">
        <v>182</v>
      </c>
      <c r="AA6" s="83">
        <v>0</v>
      </c>
      <c r="AB6" t="s">
        <v>182</v>
      </c>
      <c r="AC6" t="s">
        <v>182</v>
      </c>
      <c r="AD6" t="s">
        <v>182</v>
      </c>
      <c r="AE6" s="84">
        <v>0</v>
      </c>
      <c r="AF6" s="84">
        <v>0</v>
      </c>
      <c r="AG6" t="s">
        <v>196</v>
      </c>
      <c r="AH6" t="s">
        <v>197</v>
      </c>
      <c r="AI6" t="s">
        <v>111</v>
      </c>
      <c r="AJ6" t="s">
        <v>182</v>
      </c>
      <c r="AK6" t="s">
        <v>182</v>
      </c>
      <c r="AL6" t="s">
        <v>229</v>
      </c>
      <c r="AM6" t="s">
        <v>182</v>
      </c>
      <c r="AN6" t="s">
        <v>182</v>
      </c>
      <c r="AO6" t="s">
        <v>182</v>
      </c>
      <c r="AP6" t="s">
        <v>182</v>
      </c>
      <c r="AQ6" t="s">
        <v>182</v>
      </c>
      <c r="AR6" t="s">
        <v>182</v>
      </c>
      <c r="AS6" t="s">
        <v>182</v>
      </c>
      <c r="AT6" t="s">
        <v>182</v>
      </c>
      <c r="AU6" t="s">
        <v>182</v>
      </c>
      <c r="AV6" t="s">
        <v>182</v>
      </c>
      <c r="AW6" t="s">
        <v>182</v>
      </c>
      <c r="AX6" t="s">
        <v>182</v>
      </c>
      <c r="AY6" t="s">
        <v>198</v>
      </c>
      <c r="AZ6" t="s">
        <v>182</v>
      </c>
      <c r="BA6" t="s">
        <v>182</v>
      </c>
      <c r="BB6" t="s">
        <v>230</v>
      </c>
      <c r="BC6" t="s">
        <v>93</v>
      </c>
      <c r="BD6" t="s">
        <v>93</v>
      </c>
      <c r="BE6" t="s">
        <v>93</v>
      </c>
      <c r="BF6" t="s">
        <v>182</v>
      </c>
      <c r="BG6" t="s">
        <v>182</v>
      </c>
      <c r="BH6" t="s">
        <v>93</v>
      </c>
      <c r="BI6" t="s">
        <v>93</v>
      </c>
      <c r="BJ6" t="s">
        <v>182</v>
      </c>
      <c r="BK6" t="s">
        <v>182</v>
      </c>
      <c r="BL6" t="s">
        <v>182</v>
      </c>
      <c r="BM6" t="s">
        <v>200</v>
      </c>
    </row>
    <row r="7" spans="1:65" ht="16.5" x14ac:dyDescent="0.2">
      <c r="A7" s="6" t="str">
        <f t="shared" si="0"/>
        <v>64</v>
      </c>
      <c r="B7" s="23" t="s">
        <v>104</v>
      </c>
      <c r="C7" t="s">
        <v>180</v>
      </c>
      <c r="D7" t="s">
        <v>181</v>
      </c>
      <c r="E7" t="s">
        <v>182</v>
      </c>
      <c r="F7" t="s">
        <v>183</v>
      </c>
      <c r="G7" t="s">
        <v>231</v>
      </c>
      <c r="H7" t="s">
        <v>93</v>
      </c>
      <c r="I7" t="s">
        <v>232</v>
      </c>
      <c r="J7" t="s">
        <v>233</v>
      </c>
      <c r="K7" s="81">
        <v>45293</v>
      </c>
      <c r="L7" s="82">
        <v>4.1770833333330003E-2</v>
      </c>
      <c r="M7" t="s">
        <v>112</v>
      </c>
      <c r="N7" t="s">
        <v>187</v>
      </c>
      <c r="O7" t="s">
        <v>188</v>
      </c>
      <c r="P7" t="s">
        <v>189</v>
      </c>
      <c r="Q7" t="s">
        <v>204</v>
      </c>
      <c r="R7" t="s">
        <v>205</v>
      </c>
      <c r="S7" t="s">
        <v>206</v>
      </c>
      <c r="T7" t="s">
        <v>234</v>
      </c>
      <c r="U7" t="s">
        <v>235</v>
      </c>
      <c r="V7" t="s">
        <v>209</v>
      </c>
      <c r="W7" t="s">
        <v>182</v>
      </c>
      <c r="X7" t="s">
        <v>182</v>
      </c>
      <c r="Y7" s="83">
        <v>0</v>
      </c>
      <c r="Z7" t="s">
        <v>182</v>
      </c>
      <c r="AA7" s="83">
        <v>0</v>
      </c>
      <c r="AB7" t="s">
        <v>182</v>
      </c>
      <c r="AC7" t="s">
        <v>182</v>
      </c>
      <c r="AD7" t="s">
        <v>182</v>
      </c>
      <c r="AE7" s="84">
        <v>0</v>
      </c>
      <c r="AF7" s="84">
        <v>0</v>
      </c>
      <c r="AG7" t="s">
        <v>196</v>
      </c>
      <c r="AH7" t="s">
        <v>197</v>
      </c>
      <c r="AI7" t="s">
        <v>111</v>
      </c>
      <c r="AJ7" t="s">
        <v>182</v>
      </c>
      <c r="AK7" t="s">
        <v>182</v>
      </c>
      <c r="AL7" t="s">
        <v>182</v>
      </c>
      <c r="AM7" t="s">
        <v>182</v>
      </c>
      <c r="AN7" t="s">
        <v>182</v>
      </c>
      <c r="AO7" t="s">
        <v>182</v>
      </c>
      <c r="AP7" t="s">
        <v>182</v>
      </c>
      <c r="AQ7" t="s">
        <v>182</v>
      </c>
      <c r="AR7" t="s">
        <v>182</v>
      </c>
      <c r="AS7" t="s">
        <v>182</v>
      </c>
      <c r="AT7" t="s">
        <v>182</v>
      </c>
      <c r="AU7" t="s">
        <v>182</v>
      </c>
      <c r="AV7" t="s">
        <v>182</v>
      </c>
      <c r="AW7" t="s">
        <v>182</v>
      </c>
      <c r="AX7" t="s">
        <v>182</v>
      </c>
      <c r="AY7" t="s">
        <v>236</v>
      </c>
      <c r="AZ7" t="s">
        <v>182</v>
      </c>
      <c r="BA7" t="s">
        <v>182</v>
      </c>
      <c r="BB7" t="s">
        <v>199</v>
      </c>
      <c r="BC7" t="s">
        <v>93</v>
      </c>
      <c r="BD7" t="s">
        <v>93</v>
      </c>
      <c r="BE7" t="s">
        <v>93</v>
      </c>
      <c r="BF7" t="s">
        <v>182</v>
      </c>
      <c r="BG7" t="s">
        <v>182</v>
      </c>
      <c r="BH7" t="s">
        <v>182</v>
      </c>
      <c r="BI7" t="s">
        <v>93</v>
      </c>
      <c r="BJ7" t="s">
        <v>182</v>
      </c>
      <c r="BK7" t="s">
        <v>182</v>
      </c>
      <c r="BL7" t="s">
        <v>182</v>
      </c>
      <c r="BM7" t="s">
        <v>237</v>
      </c>
    </row>
    <row r="8" spans="1:65" ht="16.5" x14ac:dyDescent="0.2">
      <c r="A8" s="6" t="str">
        <f t="shared" si="0"/>
        <v>64</v>
      </c>
      <c r="B8" s="23" t="s">
        <v>104</v>
      </c>
      <c r="C8" t="s">
        <v>180</v>
      </c>
      <c r="D8" t="s">
        <v>181</v>
      </c>
      <c r="E8" t="s">
        <v>182</v>
      </c>
      <c r="F8" t="s">
        <v>183</v>
      </c>
      <c r="G8" t="s">
        <v>238</v>
      </c>
      <c r="H8" t="s">
        <v>93</v>
      </c>
      <c r="I8" t="s">
        <v>239</v>
      </c>
      <c r="J8" t="s">
        <v>182</v>
      </c>
      <c r="K8" s="81">
        <v>45293</v>
      </c>
      <c r="L8" s="82">
        <v>4.675925925926E-2</v>
      </c>
      <c r="M8" t="s">
        <v>112</v>
      </c>
      <c r="N8" t="s">
        <v>187</v>
      </c>
      <c r="O8" t="s">
        <v>188</v>
      </c>
      <c r="P8" t="s">
        <v>189</v>
      </c>
      <c r="Q8" t="s">
        <v>204</v>
      </c>
      <c r="R8" t="s">
        <v>205</v>
      </c>
      <c r="S8" t="s">
        <v>206</v>
      </c>
      <c r="T8" t="s">
        <v>234</v>
      </c>
      <c r="U8" t="s">
        <v>194</v>
      </c>
      <c r="V8" t="s">
        <v>209</v>
      </c>
      <c r="W8" t="s">
        <v>182</v>
      </c>
      <c r="X8" t="s">
        <v>182</v>
      </c>
      <c r="Y8" s="83">
        <v>0</v>
      </c>
      <c r="Z8" t="s">
        <v>182</v>
      </c>
      <c r="AA8" s="83">
        <v>0</v>
      </c>
      <c r="AB8" t="s">
        <v>182</v>
      </c>
      <c r="AC8" t="s">
        <v>182</v>
      </c>
      <c r="AD8" t="s">
        <v>182</v>
      </c>
      <c r="AE8" s="84">
        <v>0</v>
      </c>
      <c r="AF8" s="84">
        <v>0</v>
      </c>
      <c r="AG8" t="s">
        <v>196</v>
      </c>
      <c r="AH8" t="s">
        <v>197</v>
      </c>
      <c r="AI8" t="s">
        <v>182</v>
      </c>
      <c r="AJ8" t="s">
        <v>182</v>
      </c>
      <c r="AK8" t="s">
        <v>182</v>
      </c>
      <c r="AL8" t="s">
        <v>182</v>
      </c>
      <c r="AM8" t="s">
        <v>182</v>
      </c>
      <c r="AN8" t="s">
        <v>182</v>
      </c>
      <c r="AO8" t="s">
        <v>182</v>
      </c>
      <c r="AP8" t="s">
        <v>182</v>
      </c>
      <c r="AQ8" t="s">
        <v>182</v>
      </c>
      <c r="AR8" t="s">
        <v>182</v>
      </c>
      <c r="AS8" t="s">
        <v>182</v>
      </c>
      <c r="AT8" t="s">
        <v>182</v>
      </c>
      <c r="AU8" t="s">
        <v>182</v>
      </c>
      <c r="AV8" t="s">
        <v>182</v>
      </c>
      <c r="AW8" t="s">
        <v>182</v>
      </c>
      <c r="AX8" t="s">
        <v>182</v>
      </c>
      <c r="AY8" t="s">
        <v>236</v>
      </c>
      <c r="AZ8" t="s">
        <v>182</v>
      </c>
      <c r="BA8" t="s">
        <v>182</v>
      </c>
      <c r="BB8" t="s">
        <v>199</v>
      </c>
      <c r="BC8" t="s">
        <v>93</v>
      </c>
      <c r="BD8" t="s">
        <v>93</v>
      </c>
      <c r="BE8" t="s">
        <v>93</v>
      </c>
      <c r="BF8" t="s">
        <v>182</v>
      </c>
      <c r="BG8" t="s">
        <v>182</v>
      </c>
      <c r="BH8" t="s">
        <v>182</v>
      </c>
      <c r="BI8" t="s">
        <v>93</v>
      </c>
      <c r="BJ8" t="s">
        <v>182</v>
      </c>
      <c r="BK8" t="s">
        <v>182</v>
      </c>
      <c r="BL8" t="s">
        <v>182</v>
      </c>
      <c r="BM8" t="s">
        <v>237</v>
      </c>
    </row>
    <row r="9" spans="1:65" ht="16.5" x14ac:dyDescent="0.2">
      <c r="A9" s="6" t="str">
        <f t="shared" si="0"/>
        <v>0</v>
      </c>
      <c r="B9" s="23" t="s">
        <v>104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</row>
    <row r="10" spans="1:65" ht="16.5" x14ac:dyDescent="0.2">
      <c r="A10" s="6" t="str">
        <f t="shared" si="0"/>
        <v>0</v>
      </c>
      <c r="B10" s="23" t="s">
        <v>104</v>
      </c>
    </row>
    <row r="11" spans="1:65" ht="16.5" x14ac:dyDescent="0.2">
      <c r="A11" s="6" t="str">
        <f t="shared" si="0"/>
        <v>0</v>
      </c>
      <c r="B11" s="23" t="s">
        <v>104</v>
      </c>
    </row>
    <row r="12" spans="1:65" ht="16.5" x14ac:dyDescent="0.2">
      <c r="A12" s="6" t="str">
        <f t="shared" si="0"/>
        <v>0</v>
      </c>
      <c r="B12" s="23" t="s">
        <v>104</v>
      </c>
    </row>
    <row r="13" spans="1:65" ht="16.5" x14ac:dyDescent="0.2">
      <c r="A13" s="6" t="str">
        <f t="shared" si="0"/>
        <v>0</v>
      </c>
      <c r="B13" s="23" t="s">
        <v>104</v>
      </c>
    </row>
    <row r="14" spans="1:65" ht="16.5" x14ac:dyDescent="0.2">
      <c r="A14" s="6" t="str">
        <f t="shared" si="0"/>
        <v>0</v>
      </c>
      <c r="B14" s="23" t="s">
        <v>104</v>
      </c>
    </row>
    <row r="15" spans="1:65" ht="16.5" x14ac:dyDescent="0.2">
      <c r="A15" s="6" t="str">
        <f t="shared" si="0"/>
        <v>0</v>
      </c>
      <c r="B15" s="23" t="s">
        <v>104</v>
      </c>
    </row>
    <row r="16" spans="1:65" ht="16.5" x14ac:dyDescent="0.2">
      <c r="A16" s="6" t="str">
        <f t="shared" si="0"/>
        <v>0</v>
      </c>
      <c r="B16" s="23" t="s">
        <v>104</v>
      </c>
    </row>
    <row r="17" spans="1:2" ht="16.5" x14ac:dyDescent="0.2">
      <c r="A17" s="6" t="str">
        <f t="shared" si="0"/>
        <v>0</v>
      </c>
      <c r="B17" s="23" t="s">
        <v>104</v>
      </c>
    </row>
    <row r="18" spans="1:2" ht="16.5" x14ac:dyDescent="0.2">
      <c r="A18" s="6" t="str">
        <f t="shared" si="0"/>
        <v>0</v>
      </c>
      <c r="B18" s="23" t="s">
        <v>104</v>
      </c>
    </row>
    <row r="19" spans="1:2" ht="16.5" x14ac:dyDescent="0.2">
      <c r="A19" s="6" t="str">
        <f t="shared" si="0"/>
        <v>0</v>
      </c>
      <c r="B19" s="23" t="s">
        <v>104</v>
      </c>
    </row>
    <row r="20" spans="1:2" ht="16.5" x14ac:dyDescent="0.2">
      <c r="A20" s="6" t="str">
        <f t="shared" si="0"/>
        <v>0</v>
      </c>
      <c r="B20" s="23" t="s">
        <v>104</v>
      </c>
    </row>
    <row r="21" spans="1:2" ht="16.5" x14ac:dyDescent="0.2">
      <c r="A21" s="6" t="str">
        <f t="shared" si="0"/>
        <v>0</v>
      </c>
      <c r="B21" s="23" t="s">
        <v>104</v>
      </c>
    </row>
    <row r="22" spans="1:2" ht="16.5" x14ac:dyDescent="0.2">
      <c r="A22" s="6" t="str">
        <f t="shared" si="0"/>
        <v>0</v>
      </c>
      <c r="B22" s="23" t="s">
        <v>104</v>
      </c>
    </row>
    <row r="23" spans="1:2" ht="16.5" x14ac:dyDescent="0.2">
      <c r="A23" s="6" t="str">
        <f t="shared" si="0"/>
        <v>0</v>
      </c>
      <c r="B23" s="23" t="s">
        <v>104</v>
      </c>
    </row>
    <row r="24" spans="1:2" ht="16.5" x14ac:dyDescent="0.2">
      <c r="A24" s="6" t="str">
        <f t="shared" si="0"/>
        <v>0</v>
      </c>
      <c r="B24" s="23" t="s">
        <v>104</v>
      </c>
    </row>
    <row r="25" spans="1:2" ht="16.5" x14ac:dyDescent="0.2">
      <c r="A25" s="6" t="str">
        <f t="shared" si="0"/>
        <v>0</v>
      </c>
      <c r="B25" s="23" t="s">
        <v>104</v>
      </c>
    </row>
    <row r="26" spans="1:2" ht="16.5" x14ac:dyDescent="0.2">
      <c r="A26" s="6" t="str">
        <f t="shared" si="0"/>
        <v>0</v>
      </c>
      <c r="B26" s="23" t="s">
        <v>104</v>
      </c>
    </row>
    <row r="27" spans="1:2" ht="16.5" x14ac:dyDescent="0.2">
      <c r="A27" s="6" t="str">
        <f t="shared" si="0"/>
        <v>0</v>
      </c>
      <c r="B27" s="23" t="s">
        <v>104</v>
      </c>
    </row>
    <row r="28" spans="1:2" ht="16.5" x14ac:dyDescent="0.2">
      <c r="A28" s="6" t="str">
        <f t="shared" si="0"/>
        <v>0</v>
      </c>
      <c r="B28" s="23" t="s">
        <v>104</v>
      </c>
    </row>
    <row r="29" spans="1:2" ht="16.5" x14ac:dyDescent="0.2">
      <c r="A29" s="6" t="str">
        <f t="shared" si="0"/>
        <v>0</v>
      </c>
      <c r="B29" s="23" t="s">
        <v>104</v>
      </c>
    </row>
    <row r="30" spans="1:2" ht="16.5" x14ac:dyDescent="0.2">
      <c r="A30" s="6" t="str">
        <f t="shared" si="0"/>
        <v>0</v>
      </c>
      <c r="B30" s="23" t="s">
        <v>104</v>
      </c>
    </row>
    <row r="31" spans="1:2" ht="16.5" x14ac:dyDescent="0.2">
      <c r="A31" s="6" t="str">
        <f t="shared" si="0"/>
        <v>0</v>
      </c>
      <c r="B31" s="23" t="s">
        <v>104</v>
      </c>
    </row>
    <row r="32" spans="1:2" ht="16.5" x14ac:dyDescent="0.2">
      <c r="A32" s="6" t="str">
        <f t="shared" si="0"/>
        <v>0</v>
      </c>
      <c r="B32" s="23" t="s">
        <v>104</v>
      </c>
    </row>
    <row r="33" spans="1:2" ht="16.5" x14ac:dyDescent="0.2">
      <c r="A33" s="6" t="str">
        <f t="shared" si="0"/>
        <v>0</v>
      </c>
      <c r="B33" s="23" t="s">
        <v>104</v>
      </c>
    </row>
    <row r="34" spans="1:2" ht="16.5" x14ac:dyDescent="0.2">
      <c r="A34" s="6" t="str">
        <f t="shared" si="0"/>
        <v>0</v>
      </c>
      <c r="B34" s="23" t="s">
        <v>104</v>
      </c>
    </row>
    <row r="35" spans="1:2" ht="16.5" x14ac:dyDescent="0.2">
      <c r="A35" s="6" t="str">
        <f t="shared" si="0"/>
        <v>0</v>
      </c>
      <c r="B35" s="23" t="s">
        <v>104</v>
      </c>
    </row>
    <row r="36" spans="1:2" ht="16.5" x14ac:dyDescent="0.2">
      <c r="A36" s="6" t="str">
        <f t="shared" si="0"/>
        <v>0</v>
      </c>
      <c r="B36" s="23" t="s">
        <v>104</v>
      </c>
    </row>
    <row r="37" spans="1:2" ht="16.5" x14ac:dyDescent="0.2">
      <c r="A37" s="6" t="str">
        <f t="shared" si="0"/>
        <v>0</v>
      </c>
      <c r="B37" s="23" t="s">
        <v>104</v>
      </c>
    </row>
    <row r="38" spans="1:2" ht="16.5" x14ac:dyDescent="0.2">
      <c r="A38" s="6" t="str">
        <f t="shared" si="0"/>
        <v>0</v>
      </c>
      <c r="B38" s="23" t="s">
        <v>104</v>
      </c>
    </row>
    <row r="39" spans="1:2" ht="16.5" x14ac:dyDescent="0.2">
      <c r="A39" s="6" t="str">
        <f t="shared" si="0"/>
        <v>0</v>
      </c>
      <c r="B39" s="23" t="s">
        <v>104</v>
      </c>
    </row>
    <row r="40" spans="1:2" ht="16.5" x14ac:dyDescent="0.2">
      <c r="A40" s="6" t="str">
        <f t="shared" si="0"/>
        <v>0</v>
      </c>
      <c r="B40" s="23" t="s">
        <v>104</v>
      </c>
    </row>
    <row r="41" spans="1:2" ht="16.5" x14ac:dyDescent="0.2">
      <c r="A41" s="6" t="str">
        <f t="shared" si="0"/>
        <v>0</v>
      </c>
      <c r="B41" s="23" t="s">
        <v>104</v>
      </c>
    </row>
    <row r="42" spans="1:2" ht="16.5" x14ac:dyDescent="0.2">
      <c r="A42" s="6" t="str">
        <f t="shared" si="0"/>
        <v>0</v>
      </c>
      <c r="B42" s="23" t="s">
        <v>104</v>
      </c>
    </row>
    <row r="43" spans="1:2" ht="16.5" x14ac:dyDescent="0.2">
      <c r="A43" s="6" t="str">
        <f t="shared" si="0"/>
        <v>0</v>
      </c>
      <c r="B43" s="23" t="s">
        <v>104</v>
      </c>
    </row>
    <row r="44" spans="1:2" ht="16.5" x14ac:dyDescent="0.2">
      <c r="A44" s="6" t="str">
        <f t="shared" si="0"/>
        <v>0</v>
      </c>
      <c r="B44" s="23" t="s">
        <v>104</v>
      </c>
    </row>
    <row r="45" spans="1:2" ht="16.5" x14ac:dyDescent="0.2">
      <c r="A45" s="6" t="str">
        <f t="shared" si="0"/>
        <v>0</v>
      </c>
      <c r="B45" s="23" t="s">
        <v>104</v>
      </c>
    </row>
    <row r="46" spans="1:2" ht="16.5" x14ac:dyDescent="0.2">
      <c r="A46" s="6" t="str">
        <f t="shared" si="0"/>
        <v>0</v>
      </c>
      <c r="B46" s="23" t="s">
        <v>104</v>
      </c>
    </row>
    <row r="47" spans="1:2" ht="16.5" x14ac:dyDescent="0.2">
      <c r="A47" s="6" t="str">
        <f t="shared" si="0"/>
        <v>0</v>
      </c>
      <c r="B47" s="23" t="s">
        <v>104</v>
      </c>
    </row>
    <row r="48" spans="1:2" ht="16.5" x14ac:dyDescent="0.2">
      <c r="A48" s="6" t="str">
        <f t="shared" si="0"/>
        <v>0</v>
      </c>
      <c r="B48" s="23" t="s">
        <v>104</v>
      </c>
    </row>
    <row r="49" spans="1:2" ht="16.5" x14ac:dyDescent="0.2">
      <c r="A49" s="6" t="str">
        <f t="shared" si="0"/>
        <v>0</v>
      </c>
      <c r="B49" s="23" t="s">
        <v>104</v>
      </c>
    </row>
    <row r="50" spans="1:2" ht="16.5" x14ac:dyDescent="0.2">
      <c r="A50" s="6" t="str">
        <f t="shared" si="0"/>
        <v>0</v>
      </c>
      <c r="B50" s="23" t="s">
        <v>104</v>
      </c>
    </row>
    <row r="51" spans="1:2" ht="16.5" x14ac:dyDescent="0.2">
      <c r="A51" s="6" t="str">
        <f t="shared" si="0"/>
        <v>0</v>
      </c>
      <c r="B51" s="23" t="s">
        <v>104</v>
      </c>
    </row>
    <row r="52" spans="1:2" ht="16.5" x14ac:dyDescent="0.2">
      <c r="A52" s="6" t="str">
        <f t="shared" si="0"/>
        <v>0</v>
      </c>
      <c r="B52" s="23" t="s">
        <v>104</v>
      </c>
    </row>
    <row r="53" spans="1:2" ht="16.5" x14ac:dyDescent="0.2">
      <c r="A53" s="6" t="str">
        <f t="shared" si="0"/>
        <v>0</v>
      </c>
      <c r="B53" s="23" t="s">
        <v>104</v>
      </c>
    </row>
    <row r="54" spans="1:2" ht="16.5" x14ac:dyDescent="0.2">
      <c r="A54" s="6" t="str">
        <f t="shared" si="0"/>
        <v>0</v>
      </c>
      <c r="B54" s="23" t="s">
        <v>104</v>
      </c>
    </row>
    <row r="55" spans="1:2" ht="16.5" x14ac:dyDescent="0.2">
      <c r="A55" s="6" t="str">
        <f t="shared" si="0"/>
        <v>0</v>
      </c>
      <c r="B55" s="23" t="s">
        <v>104</v>
      </c>
    </row>
    <row r="56" spans="1:2" ht="16.5" x14ac:dyDescent="0.2">
      <c r="A56" s="6" t="str">
        <f t="shared" si="0"/>
        <v>0</v>
      </c>
      <c r="B56" s="23" t="s">
        <v>104</v>
      </c>
    </row>
    <row r="57" spans="1:2" ht="16.5" x14ac:dyDescent="0.2">
      <c r="A57" s="6" t="str">
        <f t="shared" si="0"/>
        <v>0</v>
      </c>
      <c r="B57" s="23" t="s">
        <v>104</v>
      </c>
    </row>
    <row r="58" spans="1:2" ht="16.5" x14ac:dyDescent="0.2">
      <c r="A58" s="6" t="str">
        <f t="shared" si="0"/>
        <v>0</v>
      </c>
      <c r="B58" s="23" t="s">
        <v>104</v>
      </c>
    </row>
    <row r="59" spans="1:2" ht="16.5" x14ac:dyDescent="0.2">
      <c r="A59" s="6" t="str">
        <f t="shared" si="0"/>
        <v>0</v>
      </c>
      <c r="B59" s="23" t="s">
        <v>104</v>
      </c>
    </row>
    <row r="60" spans="1:2" ht="16.5" x14ac:dyDescent="0.2">
      <c r="A60" s="6" t="str">
        <f t="shared" ref="A60:A123" si="1">LEN(G60)&amp;LEFT(G60,1)</f>
        <v>0</v>
      </c>
      <c r="B60" s="23" t="s">
        <v>104</v>
      </c>
    </row>
    <row r="61" spans="1:2" ht="16.5" x14ac:dyDescent="0.2">
      <c r="A61" s="6" t="str">
        <f t="shared" si="1"/>
        <v>0</v>
      </c>
      <c r="B61" s="23" t="s">
        <v>104</v>
      </c>
    </row>
    <row r="62" spans="1:2" ht="16.5" x14ac:dyDescent="0.2">
      <c r="A62" s="6" t="str">
        <f t="shared" si="1"/>
        <v>0</v>
      </c>
      <c r="B62" s="23" t="s">
        <v>104</v>
      </c>
    </row>
    <row r="63" spans="1:2" ht="16.5" x14ac:dyDescent="0.2">
      <c r="A63" s="6" t="str">
        <f t="shared" si="1"/>
        <v>0</v>
      </c>
      <c r="B63" s="23" t="s">
        <v>104</v>
      </c>
    </row>
    <row r="64" spans="1:2" ht="16.5" x14ac:dyDescent="0.2">
      <c r="A64" s="6" t="str">
        <f t="shared" si="1"/>
        <v>0</v>
      </c>
      <c r="B64" s="23" t="s">
        <v>104</v>
      </c>
    </row>
    <row r="65" spans="1:2" ht="16.5" x14ac:dyDescent="0.2">
      <c r="A65" s="6" t="str">
        <f t="shared" si="1"/>
        <v>0</v>
      </c>
      <c r="B65" s="23" t="s">
        <v>104</v>
      </c>
    </row>
    <row r="66" spans="1:2" ht="16.5" x14ac:dyDescent="0.2">
      <c r="A66" s="6" t="str">
        <f t="shared" si="1"/>
        <v>0</v>
      </c>
      <c r="B66" s="23" t="s">
        <v>104</v>
      </c>
    </row>
    <row r="67" spans="1:2" ht="16.5" x14ac:dyDescent="0.2">
      <c r="A67" s="6" t="str">
        <f t="shared" si="1"/>
        <v>0</v>
      </c>
      <c r="B67" s="23" t="s">
        <v>104</v>
      </c>
    </row>
    <row r="68" spans="1:2" ht="16.5" x14ac:dyDescent="0.2">
      <c r="A68" s="6" t="str">
        <f t="shared" si="1"/>
        <v>0</v>
      </c>
      <c r="B68" s="23" t="s">
        <v>104</v>
      </c>
    </row>
    <row r="69" spans="1:2" ht="16.5" x14ac:dyDescent="0.2">
      <c r="A69" s="6" t="str">
        <f t="shared" si="1"/>
        <v>0</v>
      </c>
      <c r="B69" s="23" t="s">
        <v>104</v>
      </c>
    </row>
    <row r="70" spans="1:2" ht="16.5" x14ac:dyDescent="0.2">
      <c r="A70" s="6" t="str">
        <f t="shared" si="1"/>
        <v>0</v>
      </c>
      <c r="B70" s="23" t="s">
        <v>104</v>
      </c>
    </row>
    <row r="71" spans="1:2" ht="16.5" x14ac:dyDescent="0.2">
      <c r="A71" s="6" t="str">
        <f t="shared" si="1"/>
        <v>0</v>
      </c>
      <c r="B71" s="23" t="s">
        <v>104</v>
      </c>
    </row>
    <row r="72" spans="1:2" ht="16.5" x14ac:dyDescent="0.2">
      <c r="A72" s="6" t="str">
        <f t="shared" si="1"/>
        <v>0</v>
      </c>
      <c r="B72" s="23" t="s">
        <v>104</v>
      </c>
    </row>
    <row r="73" spans="1:2" ht="16.5" x14ac:dyDescent="0.2">
      <c r="A73" s="6" t="str">
        <f t="shared" si="1"/>
        <v>0</v>
      </c>
      <c r="B73" s="23" t="s">
        <v>104</v>
      </c>
    </row>
    <row r="74" spans="1:2" ht="16.5" x14ac:dyDescent="0.2">
      <c r="A74" s="6" t="str">
        <f t="shared" si="1"/>
        <v>0</v>
      </c>
      <c r="B74" s="23" t="s">
        <v>104</v>
      </c>
    </row>
    <row r="75" spans="1:2" ht="16.5" x14ac:dyDescent="0.2">
      <c r="A75" s="6" t="str">
        <f t="shared" si="1"/>
        <v>0</v>
      </c>
      <c r="B75" s="23" t="s">
        <v>104</v>
      </c>
    </row>
    <row r="76" spans="1:2" ht="16.5" x14ac:dyDescent="0.2">
      <c r="A76" s="6" t="str">
        <f t="shared" si="1"/>
        <v>0</v>
      </c>
      <c r="B76" s="23" t="s">
        <v>104</v>
      </c>
    </row>
    <row r="77" spans="1:2" ht="16.5" x14ac:dyDescent="0.2">
      <c r="A77" s="6" t="str">
        <f t="shared" si="1"/>
        <v>0</v>
      </c>
      <c r="B77" s="23" t="s">
        <v>104</v>
      </c>
    </row>
    <row r="78" spans="1:2" ht="16.5" x14ac:dyDescent="0.2">
      <c r="A78" s="6" t="str">
        <f t="shared" si="1"/>
        <v>0</v>
      </c>
      <c r="B78" s="23" t="s">
        <v>104</v>
      </c>
    </row>
    <row r="79" spans="1:2" ht="16.5" x14ac:dyDescent="0.2">
      <c r="A79" s="6" t="str">
        <f t="shared" si="1"/>
        <v>0</v>
      </c>
      <c r="B79" s="23" t="s">
        <v>104</v>
      </c>
    </row>
    <row r="80" spans="1:2" ht="16.5" x14ac:dyDescent="0.2">
      <c r="A80" s="6" t="str">
        <f t="shared" si="1"/>
        <v>0</v>
      </c>
      <c r="B80" s="23" t="s">
        <v>104</v>
      </c>
    </row>
    <row r="81" spans="1:2" ht="16.5" x14ac:dyDescent="0.2">
      <c r="A81" s="6" t="str">
        <f t="shared" si="1"/>
        <v>0</v>
      </c>
      <c r="B81" s="23" t="s">
        <v>104</v>
      </c>
    </row>
    <row r="82" spans="1:2" ht="16.5" x14ac:dyDescent="0.2">
      <c r="A82" s="6" t="str">
        <f t="shared" si="1"/>
        <v>0</v>
      </c>
      <c r="B82" s="23" t="s">
        <v>104</v>
      </c>
    </row>
    <row r="83" spans="1:2" ht="16.5" x14ac:dyDescent="0.2">
      <c r="A83" s="6" t="str">
        <f t="shared" si="1"/>
        <v>0</v>
      </c>
      <c r="B83" s="23" t="s">
        <v>104</v>
      </c>
    </row>
    <row r="84" spans="1:2" ht="16.5" x14ac:dyDescent="0.2">
      <c r="A84" s="6" t="str">
        <f t="shared" si="1"/>
        <v>0</v>
      </c>
      <c r="B84" s="23" t="s">
        <v>104</v>
      </c>
    </row>
    <row r="85" spans="1:2" ht="16.5" x14ac:dyDescent="0.2">
      <c r="A85" s="6" t="str">
        <f t="shared" si="1"/>
        <v>0</v>
      </c>
      <c r="B85" s="23" t="s">
        <v>104</v>
      </c>
    </row>
    <row r="86" spans="1:2" ht="16.5" x14ac:dyDescent="0.2">
      <c r="A86" s="6" t="str">
        <f t="shared" si="1"/>
        <v>0</v>
      </c>
      <c r="B86" s="23" t="s">
        <v>104</v>
      </c>
    </row>
    <row r="87" spans="1:2" ht="16.5" x14ac:dyDescent="0.2">
      <c r="A87" s="6" t="str">
        <f t="shared" si="1"/>
        <v>0</v>
      </c>
      <c r="B87" s="23" t="s">
        <v>104</v>
      </c>
    </row>
    <row r="88" spans="1:2" ht="16.5" x14ac:dyDescent="0.2">
      <c r="A88" s="6" t="str">
        <f t="shared" si="1"/>
        <v>0</v>
      </c>
      <c r="B88" s="23" t="s">
        <v>104</v>
      </c>
    </row>
    <row r="89" spans="1:2" ht="16.5" x14ac:dyDescent="0.2">
      <c r="A89" s="6" t="str">
        <f t="shared" si="1"/>
        <v>0</v>
      </c>
      <c r="B89" s="23" t="s">
        <v>104</v>
      </c>
    </row>
    <row r="90" spans="1:2" ht="16.5" x14ac:dyDescent="0.2">
      <c r="A90" s="6" t="str">
        <f t="shared" si="1"/>
        <v>0</v>
      </c>
      <c r="B90" s="23" t="s">
        <v>104</v>
      </c>
    </row>
    <row r="91" spans="1:2" ht="16.5" x14ac:dyDescent="0.2">
      <c r="A91" s="6" t="str">
        <f t="shared" si="1"/>
        <v>0</v>
      </c>
      <c r="B91" s="23" t="s">
        <v>104</v>
      </c>
    </row>
    <row r="92" spans="1:2" ht="16.5" x14ac:dyDescent="0.2">
      <c r="A92" s="6" t="str">
        <f t="shared" si="1"/>
        <v>0</v>
      </c>
      <c r="B92" s="23" t="s">
        <v>104</v>
      </c>
    </row>
    <row r="93" spans="1:2" ht="16.5" x14ac:dyDescent="0.2">
      <c r="A93" s="6" t="str">
        <f t="shared" si="1"/>
        <v>0</v>
      </c>
      <c r="B93" s="23" t="s">
        <v>104</v>
      </c>
    </row>
    <row r="94" spans="1:2" ht="16.5" x14ac:dyDescent="0.2">
      <c r="A94" s="6" t="str">
        <f t="shared" si="1"/>
        <v>0</v>
      </c>
      <c r="B94" s="23" t="s">
        <v>104</v>
      </c>
    </row>
    <row r="95" spans="1:2" ht="16.5" x14ac:dyDescent="0.2">
      <c r="A95" s="6" t="str">
        <f t="shared" si="1"/>
        <v>0</v>
      </c>
      <c r="B95" s="23" t="s">
        <v>104</v>
      </c>
    </row>
    <row r="96" spans="1:2" ht="16.5" x14ac:dyDescent="0.2">
      <c r="A96" s="6" t="str">
        <f t="shared" si="1"/>
        <v>0</v>
      </c>
      <c r="B96" s="23" t="s">
        <v>104</v>
      </c>
    </row>
    <row r="97" spans="1:2" ht="16.5" x14ac:dyDescent="0.2">
      <c r="A97" s="6" t="str">
        <f t="shared" si="1"/>
        <v>0</v>
      </c>
      <c r="B97" s="23" t="s">
        <v>104</v>
      </c>
    </row>
    <row r="98" spans="1:2" ht="16.5" x14ac:dyDescent="0.2">
      <c r="A98" s="6" t="str">
        <f t="shared" si="1"/>
        <v>0</v>
      </c>
      <c r="B98" s="23" t="s">
        <v>104</v>
      </c>
    </row>
    <row r="99" spans="1:2" ht="16.5" x14ac:dyDescent="0.2">
      <c r="A99" s="6" t="str">
        <f t="shared" si="1"/>
        <v>0</v>
      </c>
      <c r="B99" s="23" t="s">
        <v>104</v>
      </c>
    </row>
    <row r="100" spans="1:2" ht="16.5" x14ac:dyDescent="0.2">
      <c r="A100" s="6" t="str">
        <f t="shared" si="1"/>
        <v>0</v>
      </c>
      <c r="B100" s="23" t="s">
        <v>104</v>
      </c>
    </row>
    <row r="101" spans="1:2" ht="16.5" x14ac:dyDescent="0.2">
      <c r="A101" s="6" t="str">
        <f t="shared" si="1"/>
        <v>0</v>
      </c>
      <c r="B101" s="23" t="s">
        <v>104</v>
      </c>
    </row>
    <row r="102" spans="1:2" ht="16.5" x14ac:dyDescent="0.2">
      <c r="A102" s="6" t="str">
        <f t="shared" si="1"/>
        <v>0</v>
      </c>
      <c r="B102" s="23" t="s">
        <v>104</v>
      </c>
    </row>
    <row r="103" spans="1:2" ht="16.5" x14ac:dyDescent="0.2">
      <c r="A103" s="6" t="str">
        <f t="shared" si="1"/>
        <v>0</v>
      </c>
      <c r="B103" s="23" t="s">
        <v>104</v>
      </c>
    </row>
    <row r="104" spans="1:2" ht="16.5" x14ac:dyDescent="0.2">
      <c r="A104" s="6" t="str">
        <f t="shared" si="1"/>
        <v>0</v>
      </c>
      <c r="B104" s="23" t="s">
        <v>104</v>
      </c>
    </row>
    <row r="105" spans="1:2" ht="16.5" x14ac:dyDescent="0.2">
      <c r="A105" s="6" t="str">
        <f t="shared" si="1"/>
        <v>0</v>
      </c>
      <c r="B105" s="23" t="s">
        <v>104</v>
      </c>
    </row>
    <row r="106" spans="1:2" ht="16.5" x14ac:dyDescent="0.2">
      <c r="A106" s="6" t="str">
        <f t="shared" si="1"/>
        <v>0</v>
      </c>
      <c r="B106" s="23" t="s">
        <v>104</v>
      </c>
    </row>
    <row r="107" spans="1:2" ht="16.5" x14ac:dyDescent="0.2">
      <c r="A107" s="6" t="str">
        <f t="shared" si="1"/>
        <v>0</v>
      </c>
      <c r="B107" s="23" t="s">
        <v>104</v>
      </c>
    </row>
    <row r="108" spans="1:2" ht="16.5" x14ac:dyDescent="0.2">
      <c r="A108" s="6" t="str">
        <f t="shared" si="1"/>
        <v>0</v>
      </c>
      <c r="B108" s="23" t="s">
        <v>104</v>
      </c>
    </row>
    <row r="109" spans="1:2" ht="16.5" x14ac:dyDescent="0.2">
      <c r="A109" s="6" t="str">
        <f t="shared" si="1"/>
        <v>0</v>
      </c>
      <c r="B109" s="23" t="s">
        <v>104</v>
      </c>
    </row>
    <row r="110" spans="1:2" ht="16.5" x14ac:dyDescent="0.2">
      <c r="A110" s="6" t="str">
        <f t="shared" si="1"/>
        <v>0</v>
      </c>
      <c r="B110" s="23" t="s">
        <v>104</v>
      </c>
    </row>
    <row r="111" spans="1:2" ht="16.5" x14ac:dyDescent="0.2">
      <c r="A111" s="6" t="str">
        <f t="shared" si="1"/>
        <v>0</v>
      </c>
      <c r="B111" s="23" t="s">
        <v>104</v>
      </c>
    </row>
    <row r="112" spans="1:2" ht="16.5" x14ac:dyDescent="0.2">
      <c r="A112" s="6" t="str">
        <f t="shared" si="1"/>
        <v>0</v>
      </c>
      <c r="B112" s="23" t="s">
        <v>104</v>
      </c>
    </row>
    <row r="113" spans="1:2" ht="16.5" x14ac:dyDescent="0.2">
      <c r="A113" s="6" t="str">
        <f t="shared" si="1"/>
        <v>0</v>
      </c>
      <c r="B113" s="23" t="s">
        <v>104</v>
      </c>
    </row>
    <row r="114" spans="1:2" ht="16.5" x14ac:dyDescent="0.2">
      <c r="A114" s="6" t="str">
        <f t="shared" si="1"/>
        <v>0</v>
      </c>
      <c r="B114" s="23" t="s">
        <v>104</v>
      </c>
    </row>
    <row r="115" spans="1:2" ht="16.5" x14ac:dyDescent="0.2">
      <c r="A115" s="6" t="str">
        <f t="shared" si="1"/>
        <v>0</v>
      </c>
      <c r="B115" s="23" t="s">
        <v>104</v>
      </c>
    </row>
    <row r="116" spans="1:2" ht="16.5" x14ac:dyDescent="0.2">
      <c r="A116" s="6" t="str">
        <f t="shared" si="1"/>
        <v>0</v>
      </c>
      <c r="B116" s="23" t="s">
        <v>104</v>
      </c>
    </row>
    <row r="117" spans="1:2" ht="16.5" x14ac:dyDescent="0.2">
      <c r="A117" s="6" t="str">
        <f t="shared" si="1"/>
        <v>0</v>
      </c>
      <c r="B117" s="23" t="s">
        <v>104</v>
      </c>
    </row>
    <row r="118" spans="1:2" ht="16.5" x14ac:dyDescent="0.2">
      <c r="A118" s="6" t="str">
        <f t="shared" si="1"/>
        <v>0</v>
      </c>
      <c r="B118" s="23" t="s">
        <v>104</v>
      </c>
    </row>
    <row r="119" spans="1:2" ht="16.5" x14ac:dyDescent="0.2">
      <c r="A119" s="6" t="str">
        <f t="shared" si="1"/>
        <v>0</v>
      </c>
      <c r="B119" s="23" t="s">
        <v>104</v>
      </c>
    </row>
    <row r="120" spans="1:2" ht="16.5" x14ac:dyDescent="0.2">
      <c r="A120" s="6" t="str">
        <f t="shared" si="1"/>
        <v>0</v>
      </c>
      <c r="B120" s="23" t="s">
        <v>104</v>
      </c>
    </row>
    <row r="121" spans="1:2" ht="16.5" x14ac:dyDescent="0.2">
      <c r="A121" s="6" t="str">
        <f t="shared" si="1"/>
        <v>0</v>
      </c>
      <c r="B121" s="23" t="s">
        <v>104</v>
      </c>
    </row>
    <row r="122" spans="1:2" ht="16.5" x14ac:dyDescent="0.2">
      <c r="A122" s="6" t="str">
        <f t="shared" si="1"/>
        <v>0</v>
      </c>
      <c r="B122" s="23" t="s">
        <v>104</v>
      </c>
    </row>
    <row r="123" spans="1:2" ht="16.5" x14ac:dyDescent="0.2">
      <c r="A123" s="6" t="str">
        <f t="shared" si="1"/>
        <v>0</v>
      </c>
      <c r="B123" s="23" t="s">
        <v>104</v>
      </c>
    </row>
    <row r="124" spans="1:2" ht="16.5" x14ac:dyDescent="0.2">
      <c r="A124" s="6" t="str">
        <f t="shared" ref="A124:A187" si="2">LEN(G124)&amp;LEFT(G124,1)</f>
        <v>0</v>
      </c>
      <c r="B124" s="23" t="s">
        <v>104</v>
      </c>
    </row>
    <row r="125" spans="1:2" ht="16.5" x14ac:dyDescent="0.2">
      <c r="A125" s="6" t="str">
        <f t="shared" si="2"/>
        <v>0</v>
      </c>
      <c r="B125" s="23" t="s">
        <v>104</v>
      </c>
    </row>
    <row r="126" spans="1:2" ht="16.5" x14ac:dyDescent="0.2">
      <c r="A126" s="6" t="str">
        <f t="shared" si="2"/>
        <v>0</v>
      </c>
      <c r="B126" s="23" t="s">
        <v>104</v>
      </c>
    </row>
    <row r="127" spans="1:2" ht="16.5" x14ac:dyDescent="0.2">
      <c r="A127" s="6" t="str">
        <f t="shared" si="2"/>
        <v>0</v>
      </c>
      <c r="B127" s="23" t="s">
        <v>104</v>
      </c>
    </row>
    <row r="128" spans="1:2" ht="16.5" x14ac:dyDescent="0.2">
      <c r="A128" s="6" t="str">
        <f t="shared" si="2"/>
        <v>0</v>
      </c>
      <c r="B128" s="23" t="s">
        <v>104</v>
      </c>
    </row>
    <row r="129" spans="1:2" ht="16.5" x14ac:dyDescent="0.2">
      <c r="A129" s="6" t="str">
        <f t="shared" si="2"/>
        <v>0</v>
      </c>
      <c r="B129" s="23" t="s">
        <v>104</v>
      </c>
    </row>
    <row r="130" spans="1:2" ht="16.5" x14ac:dyDescent="0.2">
      <c r="A130" s="6" t="str">
        <f t="shared" si="2"/>
        <v>0</v>
      </c>
      <c r="B130" s="23" t="s">
        <v>104</v>
      </c>
    </row>
    <row r="131" spans="1:2" ht="16.5" x14ac:dyDescent="0.2">
      <c r="A131" s="6" t="str">
        <f t="shared" si="2"/>
        <v>0</v>
      </c>
      <c r="B131" s="23" t="s">
        <v>104</v>
      </c>
    </row>
    <row r="132" spans="1:2" ht="16.5" x14ac:dyDescent="0.2">
      <c r="A132" s="6" t="str">
        <f t="shared" si="2"/>
        <v>0</v>
      </c>
      <c r="B132" s="23" t="s">
        <v>104</v>
      </c>
    </row>
    <row r="133" spans="1:2" ht="16.5" x14ac:dyDescent="0.2">
      <c r="A133" s="6" t="str">
        <f t="shared" si="2"/>
        <v>0</v>
      </c>
      <c r="B133" s="23" t="s">
        <v>104</v>
      </c>
    </row>
    <row r="134" spans="1:2" ht="16.5" x14ac:dyDescent="0.2">
      <c r="A134" s="6" t="str">
        <f t="shared" si="2"/>
        <v>0</v>
      </c>
      <c r="B134" s="23" t="s">
        <v>104</v>
      </c>
    </row>
    <row r="135" spans="1:2" ht="16.5" x14ac:dyDescent="0.2">
      <c r="A135" s="6" t="str">
        <f t="shared" si="2"/>
        <v>0</v>
      </c>
      <c r="B135" s="23" t="s">
        <v>104</v>
      </c>
    </row>
    <row r="136" spans="1:2" ht="16.5" x14ac:dyDescent="0.2">
      <c r="A136" s="6" t="str">
        <f t="shared" si="2"/>
        <v>0</v>
      </c>
      <c r="B136" s="23" t="s">
        <v>104</v>
      </c>
    </row>
    <row r="137" spans="1:2" ht="16.5" x14ac:dyDescent="0.2">
      <c r="A137" s="6" t="str">
        <f t="shared" si="2"/>
        <v>0</v>
      </c>
      <c r="B137" s="23" t="s">
        <v>104</v>
      </c>
    </row>
    <row r="138" spans="1:2" ht="16.5" x14ac:dyDescent="0.2">
      <c r="A138" s="6" t="str">
        <f t="shared" si="2"/>
        <v>0</v>
      </c>
      <c r="B138" s="23" t="s">
        <v>104</v>
      </c>
    </row>
    <row r="139" spans="1:2" ht="16.5" x14ac:dyDescent="0.2">
      <c r="A139" s="6" t="str">
        <f t="shared" si="2"/>
        <v>0</v>
      </c>
      <c r="B139" s="23" t="s">
        <v>104</v>
      </c>
    </row>
    <row r="140" spans="1:2" ht="16.5" x14ac:dyDescent="0.2">
      <c r="A140" s="6" t="str">
        <f t="shared" si="2"/>
        <v>0</v>
      </c>
      <c r="B140" s="23" t="s">
        <v>104</v>
      </c>
    </row>
    <row r="141" spans="1:2" ht="16.5" x14ac:dyDescent="0.2">
      <c r="A141" s="6" t="str">
        <f t="shared" si="2"/>
        <v>0</v>
      </c>
      <c r="B141" s="23" t="s">
        <v>104</v>
      </c>
    </row>
    <row r="142" spans="1:2" ht="16.5" x14ac:dyDescent="0.2">
      <c r="A142" s="6" t="str">
        <f t="shared" si="2"/>
        <v>0</v>
      </c>
      <c r="B142" s="23" t="s">
        <v>104</v>
      </c>
    </row>
    <row r="143" spans="1:2" ht="16.5" x14ac:dyDescent="0.2">
      <c r="A143" s="6" t="str">
        <f t="shared" si="2"/>
        <v>0</v>
      </c>
      <c r="B143" s="23" t="s">
        <v>104</v>
      </c>
    </row>
    <row r="144" spans="1:2" ht="16.5" x14ac:dyDescent="0.2">
      <c r="A144" s="6" t="str">
        <f t="shared" si="2"/>
        <v>0</v>
      </c>
      <c r="B144" s="23" t="s">
        <v>104</v>
      </c>
    </row>
    <row r="145" spans="1:2" ht="16.5" x14ac:dyDescent="0.2">
      <c r="A145" s="6" t="str">
        <f t="shared" si="2"/>
        <v>0</v>
      </c>
      <c r="B145" s="23" t="s">
        <v>104</v>
      </c>
    </row>
    <row r="146" spans="1:2" ht="16.5" x14ac:dyDescent="0.2">
      <c r="A146" s="6" t="str">
        <f t="shared" si="2"/>
        <v>0</v>
      </c>
      <c r="B146" s="23" t="s">
        <v>104</v>
      </c>
    </row>
    <row r="147" spans="1:2" ht="16.5" x14ac:dyDescent="0.2">
      <c r="A147" s="6" t="str">
        <f t="shared" si="2"/>
        <v>0</v>
      </c>
      <c r="B147" s="23" t="s">
        <v>104</v>
      </c>
    </row>
    <row r="148" spans="1:2" ht="16.5" x14ac:dyDescent="0.2">
      <c r="A148" s="6" t="str">
        <f t="shared" si="2"/>
        <v>0</v>
      </c>
      <c r="B148" s="23" t="s">
        <v>104</v>
      </c>
    </row>
    <row r="149" spans="1:2" ht="16.5" x14ac:dyDescent="0.2">
      <c r="A149" s="6" t="str">
        <f t="shared" si="2"/>
        <v>0</v>
      </c>
      <c r="B149" s="23" t="s">
        <v>104</v>
      </c>
    </row>
    <row r="150" spans="1:2" ht="16.5" x14ac:dyDescent="0.2">
      <c r="A150" s="6" t="str">
        <f t="shared" si="2"/>
        <v>0</v>
      </c>
      <c r="B150" s="23" t="s">
        <v>104</v>
      </c>
    </row>
    <row r="151" spans="1:2" ht="16.5" x14ac:dyDescent="0.2">
      <c r="A151" s="6" t="str">
        <f t="shared" si="2"/>
        <v>0</v>
      </c>
      <c r="B151" s="23" t="s">
        <v>104</v>
      </c>
    </row>
    <row r="152" spans="1:2" ht="16.5" x14ac:dyDescent="0.2">
      <c r="A152" s="6" t="str">
        <f t="shared" si="2"/>
        <v>0</v>
      </c>
      <c r="B152" s="23" t="s">
        <v>104</v>
      </c>
    </row>
    <row r="153" spans="1:2" ht="16.5" x14ac:dyDescent="0.2">
      <c r="A153" s="6" t="str">
        <f t="shared" si="2"/>
        <v>0</v>
      </c>
      <c r="B153" s="23" t="s">
        <v>104</v>
      </c>
    </row>
    <row r="154" spans="1:2" ht="16.5" x14ac:dyDescent="0.2">
      <c r="A154" s="6" t="str">
        <f t="shared" si="2"/>
        <v>0</v>
      </c>
      <c r="B154" s="23" t="s">
        <v>104</v>
      </c>
    </row>
    <row r="155" spans="1:2" ht="16.5" x14ac:dyDescent="0.2">
      <c r="A155" s="6" t="str">
        <f t="shared" si="2"/>
        <v>0</v>
      </c>
      <c r="B155" s="23" t="s">
        <v>104</v>
      </c>
    </row>
    <row r="156" spans="1:2" ht="16.5" x14ac:dyDescent="0.2">
      <c r="A156" s="6" t="str">
        <f t="shared" si="2"/>
        <v>0</v>
      </c>
      <c r="B156" s="23" t="s">
        <v>104</v>
      </c>
    </row>
    <row r="157" spans="1:2" ht="16.5" x14ac:dyDescent="0.2">
      <c r="A157" s="6" t="str">
        <f t="shared" si="2"/>
        <v>0</v>
      </c>
      <c r="B157" s="23" t="s">
        <v>104</v>
      </c>
    </row>
    <row r="158" spans="1:2" ht="16.5" x14ac:dyDescent="0.2">
      <c r="A158" s="6" t="str">
        <f t="shared" si="2"/>
        <v>0</v>
      </c>
      <c r="B158" s="23" t="s">
        <v>104</v>
      </c>
    </row>
    <row r="159" spans="1:2" ht="16.5" x14ac:dyDescent="0.2">
      <c r="A159" s="6" t="str">
        <f t="shared" si="2"/>
        <v>0</v>
      </c>
      <c r="B159" s="23" t="s">
        <v>104</v>
      </c>
    </row>
    <row r="160" spans="1:2" ht="16.5" x14ac:dyDescent="0.2">
      <c r="A160" s="6" t="str">
        <f t="shared" si="2"/>
        <v>0</v>
      </c>
      <c r="B160" s="23" t="s">
        <v>104</v>
      </c>
    </row>
    <row r="161" spans="1:2" ht="16.5" x14ac:dyDescent="0.2">
      <c r="A161" s="6" t="str">
        <f t="shared" si="2"/>
        <v>0</v>
      </c>
      <c r="B161" s="23" t="s">
        <v>104</v>
      </c>
    </row>
    <row r="162" spans="1:2" ht="16.5" x14ac:dyDescent="0.2">
      <c r="A162" s="6" t="str">
        <f t="shared" si="2"/>
        <v>0</v>
      </c>
      <c r="B162" s="23" t="s">
        <v>104</v>
      </c>
    </row>
    <row r="163" spans="1:2" ht="16.5" x14ac:dyDescent="0.2">
      <c r="A163" s="6" t="str">
        <f t="shared" si="2"/>
        <v>0</v>
      </c>
      <c r="B163" s="23" t="s">
        <v>104</v>
      </c>
    </row>
    <row r="164" spans="1:2" ht="16.5" x14ac:dyDescent="0.2">
      <c r="A164" s="6" t="str">
        <f t="shared" si="2"/>
        <v>0</v>
      </c>
      <c r="B164" s="23" t="s">
        <v>104</v>
      </c>
    </row>
    <row r="165" spans="1:2" ht="16.5" x14ac:dyDescent="0.2">
      <c r="A165" s="6" t="str">
        <f t="shared" si="2"/>
        <v>0</v>
      </c>
      <c r="B165" s="23" t="s">
        <v>104</v>
      </c>
    </row>
    <row r="166" spans="1:2" ht="16.5" x14ac:dyDescent="0.2">
      <c r="A166" s="6" t="str">
        <f t="shared" si="2"/>
        <v>0</v>
      </c>
      <c r="B166" s="23" t="s">
        <v>104</v>
      </c>
    </row>
    <row r="167" spans="1:2" ht="16.5" x14ac:dyDescent="0.2">
      <c r="A167" s="6" t="str">
        <f t="shared" si="2"/>
        <v>0</v>
      </c>
      <c r="B167" s="23" t="s">
        <v>104</v>
      </c>
    </row>
    <row r="168" spans="1:2" ht="16.5" x14ac:dyDescent="0.2">
      <c r="A168" s="6" t="str">
        <f t="shared" si="2"/>
        <v>0</v>
      </c>
      <c r="B168" s="23" t="s">
        <v>104</v>
      </c>
    </row>
    <row r="169" spans="1:2" ht="16.5" x14ac:dyDescent="0.2">
      <c r="A169" s="6" t="str">
        <f t="shared" si="2"/>
        <v>0</v>
      </c>
      <c r="B169" s="23" t="s">
        <v>104</v>
      </c>
    </row>
    <row r="170" spans="1:2" ht="16.5" x14ac:dyDescent="0.2">
      <c r="A170" s="6" t="str">
        <f t="shared" si="2"/>
        <v>0</v>
      </c>
      <c r="B170" s="23" t="s">
        <v>104</v>
      </c>
    </row>
    <row r="171" spans="1:2" ht="16.5" x14ac:dyDescent="0.2">
      <c r="A171" s="6" t="str">
        <f t="shared" si="2"/>
        <v>0</v>
      </c>
      <c r="B171" s="23" t="s">
        <v>104</v>
      </c>
    </row>
    <row r="172" spans="1:2" ht="16.5" x14ac:dyDescent="0.2">
      <c r="A172" s="6" t="str">
        <f t="shared" si="2"/>
        <v>0</v>
      </c>
      <c r="B172" s="23" t="s">
        <v>104</v>
      </c>
    </row>
    <row r="173" spans="1:2" ht="16.5" x14ac:dyDescent="0.2">
      <c r="A173" s="6" t="str">
        <f t="shared" si="2"/>
        <v>0</v>
      </c>
      <c r="B173" s="23" t="s">
        <v>104</v>
      </c>
    </row>
    <row r="174" spans="1:2" ht="16.5" x14ac:dyDescent="0.2">
      <c r="A174" s="6" t="str">
        <f t="shared" si="2"/>
        <v>0</v>
      </c>
      <c r="B174" s="23" t="s">
        <v>104</v>
      </c>
    </row>
    <row r="175" spans="1:2" ht="16.5" x14ac:dyDescent="0.2">
      <c r="A175" s="6" t="str">
        <f t="shared" si="2"/>
        <v>0</v>
      </c>
      <c r="B175" s="23" t="s">
        <v>104</v>
      </c>
    </row>
    <row r="176" spans="1:2" ht="16.5" x14ac:dyDescent="0.2">
      <c r="A176" s="6" t="str">
        <f t="shared" si="2"/>
        <v>0</v>
      </c>
      <c r="B176" s="23" t="s">
        <v>104</v>
      </c>
    </row>
    <row r="177" spans="1:2" ht="16.5" x14ac:dyDescent="0.2">
      <c r="A177" s="6" t="str">
        <f t="shared" si="2"/>
        <v>0</v>
      </c>
      <c r="B177" s="23" t="s">
        <v>104</v>
      </c>
    </row>
    <row r="178" spans="1:2" ht="16.5" x14ac:dyDescent="0.2">
      <c r="A178" s="6" t="str">
        <f t="shared" si="2"/>
        <v>0</v>
      </c>
      <c r="B178" s="23" t="s">
        <v>104</v>
      </c>
    </row>
    <row r="179" spans="1:2" ht="16.5" x14ac:dyDescent="0.2">
      <c r="A179" s="6" t="str">
        <f t="shared" si="2"/>
        <v>0</v>
      </c>
      <c r="B179" s="23" t="s">
        <v>104</v>
      </c>
    </row>
    <row r="180" spans="1:2" ht="16.5" x14ac:dyDescent="0.2">
      <c r="A180" s="6" t="str">
        <f t="shared" si="2"/>
        <v>0</v>
      </c>
      <c r="B180" s="23" t="s">
        <v>104</v>
      </c>
    </row>
    <row r="181" spans="1:2" ht="16.5" x14ac:dyDescent="0.2">
      <c r="A181" s="6" t="str">
        <f t="shared" si="2"/>
        <v>0</v>
      </c>
      <c r="B181" s="23" t="s">
        <v>104</v>
      </c>
    </row>
    <row r="182" spans="1:2" ht="16.5" x14ac:dyDescent="0.2">
      <c r="A182" s="6" t="str">
        <f t="shared" si="2"/>
        <v>0</v>
      </c>
      <c r="B182" s="23" t="s">
        <v>104</v>
      </c>
    </row>
    <row r="183" spans="1:2" ht="16.5" x14ac:dyDescent="0.2">
      <c r="A183" s="6" t="str">
        <f t="shared" si="2"/>
        <v>0</v>
      </c>
      <c r="B183" s="23" t="s">
        <v>104</v>
      </c>
    </row>
    <row r="184" spans="1:2" ht="16.5" x14ac:dyDescent="0.2">
      <c r="A184" s="6" t="str">
        <f t="shared" si="2"/>
        <v>0</v>
      </c>
      <c r="B184" s="23" t="s">
        <v>104</v>
      </c>
    </row>
    <row r="185" spans="1:2" ht="16.5" x14ac:dyDescent="0.2">
      <c r="A185" s="6" t="str">
        <f t="shared" si="2"/>
        <v>0</v>
      </c>
      <c r="B185" s="23" t="s">
        <v>104</v>
      </c>
    </row>
    <row r="186" spans="1:2" ht="16.5" x14ac:dyDescent="0.2">
      <c r="A186" s="6" t="str">
        <f t="shared" si="2"/>
        <v>0</v>
      </c>
      <c r="B186" s="23" t="s">
        <v>104</v>
      </c>
    </row>
    <row r="187" spans="1:2" ht="16.5" x14ac:dyDescent="0.2">
      <c r="A187" s="6" t="str">
        <f t="shared" si="2"/>
        <v>0</v>
      </c>
      <c r="B187" s="23" t="s">
        <v>104</v>
      </c>
    </row>
    <row r="188" spans="1:2" ht="16.5" x14ac:dyDescent="0.2">
      <c r="A188" s="6" t="str">
        <f t="shared" ref="A188:A251" si="3">LEN(G188)&amp;LEFT(G188,1)</f>
        <v>0</v>
      </c>
      <c r="B188" s="23" t="s">
        <v>104</v>
      </c>
    </row>
    <row r="189" spans="1:2" ht="16.5" x14ac:dyDescent="0.2">
      <c r="A189" s="6" t="str">
        <f t="shared" si="3"/>
        <v>0</v>
      </c>
      <c r="B189" s="23" t="s">
        <v>104</v>
      </c>
    </row>
    <row r="190" spans="1:2" ht="16.5" x14ac:dyDescent="0.2">
      <c r="A190" s="6" t="str">
        <f t="shared" si="3"/>
        <v>0</v>
      </c>
      <c r="B190" s="23" t="s">
        <v>104</v>
      </c>
    </row>
    <row r="191" spans="1:2" ht="16.5" x14ac:dyDescent="0.2">
      <c r="A191" s="6" t="str">
        <f t="shared" si="3"/>
        <v>0</v>
      </c>
      <c r="B191" s="23" t="s">
        <v>104</v>
      </c>
    </row>
    <row r="192" spans="1:2" ht="16.5" x14ac:dyDescent="0.2">
      <c r="A192" s="6" t="str">
        <f t="shared" si="3"/>
        <v>0</v>
      </c>
      <c r="B192" s="23" t="s">
        <v>104</v>
      </c>
    </row>
    <row r="193" spans="1:2" ht="16.5" x14ac:dyDescent="0.2">
      <c r="A193" s="6" t="str">
        <f t="shared" si="3"/>
        <v>0</v>
      </c>
      <c r="B193" s="23" t="s">
        <v>104</v>
      </c>
    </row>
    <row r="194" spans="1:2" ht="16.5" x14ac:dyDescent="0.2">
      <c r="A194" s="6" t="str">
        <f t="shared" si="3"/>
        <v>0</v>
      </c>
      <c r="B194" s="23" t="s">
        <v>104</v>
      </c>
    </row>
    <row r="195" spans="1:2" ht="16.5" x14ac:dyDescent="0.2">
      <c r="A195" s="6" t="str">
        <f t="shared" si="3"/>
        <v>0</v>
      </c>
      <c r="B195" s="23" t="s">
        <v>104</v>
      </c>
    </row>
    <row r="196" spans="1:2" ht="16.5" x14ac:dyDescent="0.2">
      <c r="A196" s="6" t="str">
        <f t="shared" si="3"/>
        <v>0</v>
      </c>
      <c r="B196" s="23" t="s">
        <v>104</v>
      </c>
    </row>
    <row r="197" spans="1:2" ht="16.5" x14ac:dyDescent="0.2">
      <c r="A197" s="6" t="str">
        <f t="shared" si="3"/>
        <v>0</v>
      </c>
      <c r="B197" s="23" t="s">
        <v>104</v>
      </c>
    </row>
    <row r="198" spans="1:2" ht="16.5" x14ac:dyDescent="0.2">
      <c r="A198" s="6" t="str">
        <f t="shared" si="3"/>
        <v>0</v>
      </c>
      <c r="B198" s="23" t="s">
        <v>104</v>
      </c>
    </row>
    <row r="199" spans="1:2" ht="16.5" x14ac:dyDescent="0.2">
      <c r="A199" s="6" t="str">
        <f t="shared" si="3"/>
        <v>0</v>
      </c>
      <c r="B199" s="23" t="s">
        <v>104</v>
      </c>
    </row>
    <row r="200" spans="1:2" ht="16.5" x14ac:dyDescent="0.2">
      <c r="A200" s="6" t="str">
        <f t="shared" si="3"/>
        <v>0</v>
      </c>
      <c r="B200" s="23" t="s">
        <v>104</v>
      </c>
    </row>
    <row r="201" spans="1:2" ht="16.5" x14ac:dyDescent="0.2">
      <c r="A201" s="6" t="str">
        <f t="shared" si="3"/>
        <v>0</v>
      </c>
      <c r="B201" s="23" t="s">
        <v>104</v>
      </c>
    </row>
    <row r="202" spans="1:2" ht="16.5" x14ac:dyDescent="0.2">
      <c r="A202" s="6" t="str">
        <f t="shared" si="3"/>
        <v>0</v>
      </c>
      <c r="B202" s="23" t="s">
        <v>104</v>
      </c>
    </row>
    <row r="203" spans="1:2" ht="16.5" x14ac:dyDescent="0.2">
      <c r="A203" s="6" t="str">
        <f t="shared" si="3"/>
        <v>0</v>
      </c>
      <c r="B203" s="23" t="s">
        <v>104</v>
      </c>
    </row>
    <row r="204" spans="1:2" ht="16.5" x14ac:dyDescent="0.2">
      <c r="A204" s="6" t="str">
        <f t="shared" si="3"/>
        <v>0</v>
      </c>
      <c r="B204" s="23" t="s">
        <v>104</v>
      </c>
    </row>
    <row r="205" spans="1:2" ht="16.5" x14ac:dyDescent="0.2">
      <c r="A205" s="6" t="str">
        <f t="shared" si="3"/>
        <v>0</v>
      </c>
      <c r="B205" s="23" t="s">
        <v>104</v>
      </c>
    </row>
    <row r="206" spans="1:2" ht="16.5" x14ac:dyDescent="0.2">
      <c r="A206" s="6" t="str">
        <f t="shared" si="3"/>
        <v>0</v>
      </c>
      <c r="B206" s="23" t="s">
        <v>104</v>
      </c>
    </row>
    <row r="207" spans="1:2" ht="16.5" x14ac:dyDescent="0.2">
      <c r="A207" s="6" t="str">
        <f t="shared" si="3"/>
        <v>0</v>
      </c>
      <c r="B207" s="23" t="s">
        <v>104</v>
      </c>
    </row>
    <row r="208" spans="1:2" ht="16.5" x14ac:dyDescent="0.2">
      <c r="A208" s="6" t="str">
        <f t="shared" si="3"/>
        <v>0</v>
      </c>
      <c r="B208" s="23" t="s">
        <v>104</v>
      </c>
    </row>
    <row r="209" spans="1:2" ht="16.5" x14ac:dyDescent="0.2">
      <c r="A209" s="6" t="str">
        <f t="shared" si="3"/>
        <v>0</v>
      </c>
      <c r="B209" s="23" t="s">
        <v>104</v>
      </c>
    </row>
    <row r="210" spans="1:2" ht="16.5" x14ac:dyDescent="0.2">
      <c r="A210" s="6" t="str">
        <f t="shared" si="3"/>
        <v>0</v>
      </c>
      <c r="B210" s="23" t="s">
        <v>104</v>
      </c>
    </row>
    <row r="211" spans="1:2" ht="16.5" x14ac:dyDescent="0.2">
      <c r="A211" s="6" t="str">
        <f t="shared" si="3"/>
        <v>0</v>
      </c>
      <c r="B211" s="23" t="s">
        <v>104</v>
      </c>
    </row>
    <row r="212" spans="1:2" ht="16.5" x14ac:dyDescent="0.2">
      <c r="A212" s="6" t="str">
        <f t="shared" si="3"/>
        <v>0</v>
      </c>
      <c r="B212" s="23" t="s">
        <v>104</v>
      </c>
    </row>
    <row r="213" spans="1:2" ht="16.5" x14ac:dyDescent="0.2">
      <c r="A213" s="6" t="str">
        <f t="shared" si="3"/>
        <v>0</v>
      </c>
      <c r="B213" s="23" t="s">
        <v>104</v>
      </c>
    </row>
    <row r="214" spans="1:2" ht="16.5" x14ac:dyDescent="0.2">
      <c r="A214" s="6" t="str">
        <f t="shared" si="3"/>
        <v>0</v>
      </c>
      <c r="B214" s="23" t="s">
        <v>104</v>
      </c>
    </row>
    <row r="215" spans="1:2" ht="16.5" x14ac:dyDescent="0.2">
      <c r="A215" s="6" t="str">
        <f t="shared" si="3"/>
        <v>0</v>
      </c>
      <c r="B215" s="23" t="s">
        <v>104</v>
      </c>
    </row>
    <row r="216" spans="1:2" ht="16.5" x14ac:dyDescent="0.2">
      <c r="A216" s="6" t="str">
        <f t="shared" si="3"/>
        <v>0</v>
      </c>
      <c r="B216" s="23" t="s">
        <v>104</v>
      </c>
    </row>
    <row r="217" spans="1:2" ht="16.5" x14ac:dyDescent="0.2">
      <c r="A217" s="6" t="str">
        <f t="shared" si="3"/>
        <v>0</v>
      </c>
      <c r="B217" s="23" t="s">
        <v>104</v>
      </c>
    </row>
    <row r="218" spans="1:2" ht="16.5" x14ac:dyDescent="0.2">
      <c r="A218" s="6" t="str">
        <f t="shared" si="3"/>
        <v>0</v>
      </c>
      <c r="B218" s="23" t="s">
        <v>104</v>
      </c>
    </row>
    <row r="219" spans="1:2" ht="16.5" x14ac:dyDescent="0.2">
      <c r="A219" s="6" t="str">
        <f t="shared" si="3"/>
        <v>0</v>
      </c>
      <c r="B219" s="23" t="s">
        <v>104</v>
      </c>
    </row>
    <row r="220" spans="1:2" ht="16.5" x14ac:dyDescent="0.2">
      <c r="A220" s="6" t="str">
        <f t="shared" si="3"/>
        <v>0</v>
      </c>
      <c r="B220" s="23" t="s">
        <v>104</v>
      </c>
    </row>
    <row r="221" spans="1:2" ht="16.5" x14ac:dyDescent="0.2">
      <c r="A221" s="6" t="str">
        <f t="shared" si="3"/>
        <v>0</v>
      </c>
      <c r="B221" s="23" t="s">
        <v>104</v>
      </c>
    </row>
    <row r="222" spans="1:2" ht="16.5" x14ac:dyDescent="0.2">
      <c r="A222" s="6" t="str">
        <f t="shared" si="3"/>
        <v>0</v>
      </c>
      <c r="B222" s="23" t="s">
        <v>104</v>
      </c>
    </row>
    <row r="223" spans="1:2" ht="16.5" x14ac:dyDescent="0.2">
      <c r="A223" s="6" t="str">
        <f t="shared" si="3"/>
        <v>0</v>
      </c>
      <c r="B223" s="23" t="s">
        <v>104</v>
      </c>
    </row>
    <row r="224" spans="1:2" ht="16.5" x14ac:dyDescent="0.2">
      <c r="A224" s="6" t="str">
        <f t="shared" si="3"/>
        <v>0</v>
      </c>
      <c r="B224" s="23" t="s">
        <v>104</v>
      </c>
    </row>
    <row r="225" spans="1:2" ht="16.5" x14ac:dyDescent="0.2">
      <c r="A225" s="6" t="str">
        <f t="shared" si="3"/>
        <v>0</v>
      </c>
      <c r="B225" s="23" t="s">
        <v>104</v>
      </c>
    </row>
    <row r="226" spans="1:2" ht="16.5" x14ac:dyDescent="0.2">
      <c r="A226" s="6" t="str">
        <f t="shared" si="3"/>
        <v>0</v>
      </c>
      <c r="B226" s="23" t="s">
        <v>104</v>
      </c>
    </row>
    <row r="227" spans="1:2" ht="16.5" x14ac:dyDescent="0.2">
      <c r="A227" s="6" t="str">
        <f t="shared" si="3"/>
        <v>0</v>
      </c>
      <c r="B227" s="23" t="s">
        <v>104</v>
      </c>
    </row>
    <row r="228" spans="1:2" ht="16.5" x14ac:dyDescent="0.2">
      <c r="A228" s="6" t="str">
        <f t="shared" si="3"/>
        <v>0</v>
      </c>
      <c r="B228" s="23" t="s">
        <v>104</v>
      </c>
    </row>
    <row r="229" spans="1:2" ht="16.5" x14ac:dyDescent="0.2">
      <c r="A229" s="6" t="str">
        <f t="shared" si="3"/>
        <v>0</v>
      </c>
      <c r="B229" s="23" t="s">
        <v>104</v>
      </c>
    </row>
    <row r="230" spans="1:2" ht="16.5" x14ac:dyDescent="0.2">
      <c r="A230" s="6" t="str">
        <f t="shared" si="3"/>
        <v>0</v>
      </c>
      <c r="B230" s="23" t="s">
        <v>104</v>
      </c>
    </row>
    <row r="231" spans="1:2" ht="16.5" x14ac:dyDescent="0.2">
      <c r="A231" s="6" t="str">
        <f t="shared" si="3"/>
        <v>0</v>
      </c>
      <c r="B231" s="23" t="s">
        <v>104</v>
      </c>
    </row>
    <row r="232" spans="1:2" ht="16.5" x14ac:dyDescent="0.2">
      <c r="A232" s="6" t="str">
        <f t="shared" si="3"/>
        <v>0</v>
      </c>
      <c r="B232" s="23" t="s">
        <v>104</v>
      </c>
    </row>
    <row r="233" spans="1:2" ht="16.5" x14ac:dyDescent="0.2">
      <c r="A233" s="6" t="str">
        <f t="shared" si="3"/>
        <v>0</v>
      </c>
      <c r="B233" s="23" t="s">
        <v>104</v>
      </c>
    </row>
    <row r="234" spans="1:2" ht="16.5" x14ac:dyDescent="0.2">
      <c r="A234" s="6" t="str">
        <f t="shared" si="3"/>
        <v>0</v>
      </c>
      <c r="B234" s="23" t="s">
        <v>104</v>
      </c>
    </row>
    <row r="235" spans="1:2" ht="16.5" x14ac:dyDescent="0.2">
      <c r="A235" s="6" t="str">
        <f t="shared" si="3"/>
        <v>0</v>
      </c>
      <c r="B235" s="23" t="s">
        <v>104</v>
      </c>
    </row>
    <row r="236" spans="1:2" ht="16.5" x14ac:dyDescent="0.2">
      <c r="A236" s="6" t="str">
        <f t="shared" si="3"/>
        <v>0</v>
      </c>
      <c r="B236" s="23" t="s">
        <v>104</v>
      </c>
    </row>
    <row r="237" spans="1:2" ht="16.5" x14ac:dyDescent="0.2">
      <c r="A237" s="6" t="str">
        <f t="shared" si="3"/>
        <v>0</v>
      </c>
      <c r="B237" s="23" t="s">
        <v>104</v>
      </c>
    </row>
    <row r="238" spans="1:2" ht="16.5" x14ac:dyDescent="0.2">
      <c r="A238" s="6" t="str">
        <f t="shared" si="3"/>
        <v>0</v>
      </c>
      <c r="B238" s="23" t="s">
        <v>104</v>
      </c>
    </row>
    <row r="239" spans="1:2" ht="16.5" x14ac:dyDescent="0.2">
      <c r="A239" s="6" t="str">
        <f t="shared" si="3"/>
        <v>0</v>
      </c>
      <c r="B239" s="23" t="s">
        <v>104</v>
      </c>
    </row>
    <row r="240" spans="1:2" ht="16.5" x14ac:dyDescent="0.2">
      <c r="A240" s="6" t="str">
        <f t="shared" si="3"/>
        <v>0</v>
      </c>
      <c r="B240" s="23" t="s">
        <v>104</v>
      </c>
    </row>
    <row r="241" spans="1:2" ht="16.5" x14ac:dyDescent="0.2">
      <c r="A241" s="6" t="str">
        <f t="shared" si="3"/>
        <v>0</v>
      </c>
      <c r="B241" s="23" t="s">
        <v>104</v>
      </c>
    </row>
    <row r="242" spans="1:2" ht="16.5" x14ac:dyDescent="0.2">
      <c r="A242" s="6" t="str">
        <f t="shared" si="3"/>
        <v>0</v>
      </c>
      <c r="B242" s="23" t="s">
        <v>104</v>
      </c>
    </row>
    <row r="243" spans="1:2" ht="16.5" x14ac:dyDescent="0.2">
      <c r="A243" s="6" t="str">
        <f t="shared" si="3"/>
        <v>0</v>
      </c>
      <c r="B243" s="23" t="s">
        <v>104</v>
      </c>
    </row>
    <row r="244" spans="1:2" ht="16.5" x14ac:dyDescent="0.2">
      <c r="A244" s="6" t="str">
        <f t="shared" si="3"/>
        <v>0</v>
      </c>
      <c r="B244" s="23" t="s">
        <v>104</v>
      </c>
    </row>
    <row r="245" spans="1:2" ht="16.5" x14ac:dyDescent="0.2">
      <c r="A245" s="6" t="str">
        <f t="shared" si="3"/>
        <v>0</v>
      </c>
      <c r="B245" s="23" t="s">
        <v>104</v>
      </c>
    </row>
    <row r="246" spans="1:2" ht="16.5" x14ac:dyDescent="0.2">
      <c r="A246" s="6" t="str">
        <f t="shared" si="3"/>
        <v>0</v>
      </c>
      <c r="B246" s="23" t="s">
        <v>104</v>
      </c>
    </row>
    <row r="247" spans="1:2" ht="16.5" x14ac:dyDescent="0.2">
      <c r="A247" s="6" t="str">
        <f t="shared" si="3"/>
        <v>0</v>
      </c>
      <c r="B247" s="23" t="s">
        <v>104</v>
      </c>
    </row>
    <row r="248" spans="1:2" ht="16.5" x14ac:dyDescent="0.2">
      <c r="A248" s="6" t="str">
        <f t="shared" si="3"/>
        <v>0</v>
      </c>
      <c r="B248" s="23" t="s">
        <v>104</v>
      </c>
    </row>
    <row r="249" spans="1:2" ht="16.5" x14ac:dyDescent="0.2">
      <c r="A249" s="6" t="str">
        <f t="shared" si="3"/>
        <v>0</v>
      </c>
      <c r="B249" s="23" t="s">
        <v>104</v>
      </c>
    </row>
    <row r="250" spans="1:2" ht="16.5" x14ac:dyDescent="0.2">
      <c r="A250" s="6" t="str">
        <f t="shared" si="3"/>
        <v>0</v>
      </c>
      <c r="B250" s="23" t="s">
        <v>104</v>
      </c>
    </row>
    <row r="251" spans="1:2" ht="16.5" x14ac:dyDescent="0.2">
      <c r="A251" s="6" t="str">
        <f t="shared" si="3"/>
        <v>0</v>
      </c>
      <c r="B251" s="23" t="s">
        <v>104</v>
      </c>
    </row>
    <row r="252" spans="1:2" ht="16.5" x14ac:dyDescent="0.2">
      <c r="A252" s="6" t="str">
        <f t="shared" ref="A252:A315" si="4">LEN(G252)&amp;LEFT(G252,1)</f>
        <v>0</v>
      </c>
      <c r="B252" s="23" t="s">
        <v>104</v>
      </c>
    </row>
    <row r="253" spans="1:2" ht="16.5" x14ac:dyDescent="0.2">
      <c r="A253" s="6" t="str">
        <f t="shared" si="4"/>
        <v>0</v>
      </c>
      <c r="B253" s="23" t="s">
        <v>104</v>
      </c>
    </row>
    <row r="254" spans="1:2" ht="16.5" x14ac:dyDescent="0.2">
      <c r="A254" s="6" t="str">
        <f t="shared" si="4"/>
        <v>0</v>
      </c>
      <c r="B254" s="23" t="s">
        <v>104</v>
      </c>
    </row>
    <row r="255" spans="1:2" ht="16.5" x14ac:dyDescent="0.2">
      <c r="A255" s="6" t="str">
        <f t="shared" si="4"/>
        <v>0</v>
      </c>
      <c r="B255" s="23" t="s">
        <v>104</v>
      </c>
    </row>
    <row r="256" spans="1:2" ht="16.5" x14ac:dyDescent="0.2">
      <c r="A256" s="6" t="str">
        <f t="shared" si="4"/>
        <v>0</v>
      </c>
      <c r="B256" s="23" t="s">
        <v>104</v>
      </c>
    </row>
    <row r="257" spans="1:2" ht="16.5" x14ac:dyDescent="0.2">
      <c r="A257" s="6" t="str">
        <f t="shared" si="4"/>
        <v>0</v>
      </c>
      <c r="B257" s="23" t="s">
        <v>104</v>
      </c>
    </row>
    <row r="258" spans="1:2" ht="16.5" x14ac:dyDescent="0.2">
      <c r="A258" s="6" t="str">
        <f t="shared" si="4"/>
        <v>0</v>
      </c>
      <c r="B258" s="23" t="s">
        <v>104</v>
      </c>
    </row>
    <row r="259" spans="1:2" ht="16.5" x14ac:dyDescent="0.2">
      <c r="A259" s="6" t="str">
        <f t="shared" si="4"/>
        <v>0</v>
      </c>
      <c r="B259" s="23" t="s">
        <v>104</v>
      </c>
    </row>
    <row r="260" spans="1:2" ht="16.5" x14ac:dyDescent="0.2">
      <c r="A260" s="6" t="str">
        <f t="shared" si="4"/>
        <v>0</v>
      </c>
      <c r="B260" s="23" t="s">
        <v>104</v>
      </c>
    </row>
    <row r="261" spans="1:2" ht="16.5" x14ac:dyDescent="0.2">
      <c r="A261" s="6" t="str">
        <f t="shared" si="4"/>
        <v>0</v>
      </c>
      <c r="B261" s="23" t="s">
        <v>104</v>
      </c>
    </row>
    <row r="262" spans="1:2" ht="16.5" x14ac:dyDescent="0.2">
      <c r="A262" s="6" t="str">
        <f t="shared" si="4"/>
        <v>0</v>
      </c>
      <c r="B262" s="23" t="s">
        <v>104</v>
      </c>
    </row>
    <row r="263" spans="1:2" ht="16.5" x14ac:dyDescent="0.2">
      <c r="A263" s="6" t="str">
        <f t="shared" si="4"/>
        <v>0</v>
      </c>
      <c r="B263" s="23" t="s">
        <v>104</v>
      </c>
    </row>
    <row r="264" spans="1:2" ht="16.5" x14ac:dyDescent="0.2">
      <c r="A264" s="6" t="str">
        <f t="shared" si="4"/>
        <v>0</v>
      </c>
      <c r="B264" s="23" t="s">
        <v>104</v>
      </c>
    </row>
    <row r="265" spans="1:2" ht="16.5" x14ac:dyDescent="0.2">
      <c r="A265" s="6" t="str">
        <f t="shared" si="4"/>
        <v>0</v>
      </c>
      <c r="B265" s="23" t="s">
        <v>104</v>
      </c>
    </row>
    <row r="266" spans="1:2" ht="16.5" x14ac:dyDescent="0.2">
      <c r="A266" s="6" t="str">
        <f t="shared" si="4"/>
        <v>0</v>
      </c>
      <c r="B266" s="23" t="s">
        <v>104</v>
      </c>
    </row>
    <row r="267" spans="1:2" ht="16.5" x14ac:dyDescent="0.2">
      <c r="A267" s="6" t="str">
        <f t="shared" si="4"/>
        <v>0</v>
      </c>
      <c r="B267" s="23" t="s">
        <v>104</v>
      </c>
    </row>
    <row r="268" spans="1:2" ht="16.5" x14ac:dyDescent="0.2">
      <c r="A268" s="6" t="str">
        <f t="shared" si="4"/>
        <v>0</v>
      </c>
      <c r="B268" s="23" t="s">
        <v>104</v>
      </c>
    </row>
    <row r="269" spans="1:2" ht="16.5" x14ac:dyDescent="0.2">
      <c r="A269" s="6" t="str">
        <f t="shared" si="4"/>
        <v>0</v>
      </c>
      <c r="B269" s="23" t="s">
        <v>104</v>
      </c>
    </row>
    <row r="270" spans="1:2" ht="16.5" x14ac:dyDescent="0.2">
      <c r="A270" s="6" t="str">
        <f t="shared" si="4"/>
        <v>0</v>
      </c>
      <c r="B270" s="23" t="s">
        <v>104</v>
      </c>
    </row>
    <row r="271" spans="1:2" ht="16.5" x14ac:dyDescent="0.2">
      <c r="A271" s="6" t="str">
        <f t="shared" si="4"/>
        <v>0</v>
      </c>
      <c r="B271" s="23" t="s">
        <v>104</v>
      </c>
    </row>
    <row r="272" spans="1:2" ht="16.5" x14ac:dyDescent="0.2">
      <c r="A272" s="6" t="str">
        <f t="shared" si="4"/>
        <v>0</v>
      </c>
      <c r="B272" s="23" t="s">
        <v>104</v>
      </c>
    </row>
    <row r="273" spans="1:2" ht="16.5" x14ac:dyDescent="0.2">
      <c r="A273" s="6" t="str">
        <f t="shared" si="4"/>
        <v>0</v>
      </c>
      <c r="B273" s="23" t="s">
        <v>104</v>
      </c>
    </row>
    <row r="274" spans="1:2" ht="16.5" x14ac:dyDescent="0.2">
      <c r="A274" s="6" t="str">
        <f t="shared" si="4"/>
        <v>0</v>
      </c>
      <c r="B274" s="23" t="s">
        <v>104</v>
      </c>
    </row>
    <row r="275" spans="1:2" ht="16.5" x14ac:dyDescent="0.2">
      <c r="A275" s="6" t="str">
        <f t="shared" si="4"/>
        <v>0</v>
      </c>
      <c r="B275" s="23" t="s">
        <v>104</v>
      </c>
    </row>
    <row r="276" spans="1:2" ht="16.5" x14ac:dyDescent="0.2">
      <c r="A276" s="6" t="str">
        <f t="shared" si="4"/>
        <v>0</v>
      </c>
      <c r="B276" s="23" t="s">
        <v>104</v>
      </c>
    </row>
    <row r="277" spans="1:2" ht="16.5" x14ac:dyDescent="0.2">
      <c r="A277" s="6" t="str">
        <f t="shared" si="4"/>
        <v>0</v>
      </c>
      <c r="B277" s="23" t="s">
        <v>104</v>
      </c>
    </row>
    <row r="278" spans="1:2" ht="16.5" x14ac:dyDescent="0.2">
      <c r="A278" s="6" t="str">
        <f t="shared" si="4"/>
        <v>0</v>
      </c>
      <c r="B278" s="23" t="s">
        <v>104</v>
      </c>
    </row>
    <row r="279" spans="1:2" ht="16.5" x14ac:dyDescent="0.2">
      <c r="A279" s="6" t="str">
        <f t="shared" si="4"/>
        <v>0</v>
      </c>
      <c r="B279" s="23" t="s">
        <v>104</v>
      </c>
    </row>
    <row r="280" spans="1:2" ht="16.5" x14ac:dyDescent="0.2">
      <c r="A280" s="6" t="str">
        <f t="shared" si="4"/>
        <v>0</v>
      </c>
      <c r="B280" s="23" t="s">
        <v>104</v>
      </c>
    </row>
    <row r="281" spans="1:2" ht="16.5" x14ac:dyDescent="0.2">
      <c r="A281" s="6" t="str">
        <f t="shared" si="4"/>
        <v>0</v>
      </c>
      <c r="B281" s="23" t="s">
        <v>104</v>
      </c>
    </row>
    <row r="282" spans="1:2" ht="16.5" x14ac:dyDescent="0.2">
      <c r="A282" s="6" t="str">
        <f t="shared" si="4"/>
        <v>0</v>
      </c>
      <c r="B282" s="23" t="s">
        <v>104</v>
      </c>
    </row>
    <row r="283" spans="1:2" ht="16.5" x14ac:dyDescent="0.2">
      <c r="A283" s="6" t="str">
        <f t="shared" si="4"/>
        <v>0</v>
      </c>
      <c r="B283" s="23" t="s">
        <v>104</v>
      </c>
    </row>
    <row r="284" spans="1:2" ht="16.5" x14ac:dyDescent="0.2">
      <c r="A284" s="6" t="str">
        <f t="shared" si="4"/>
        <v>0</v>
      </c>
      <c r="B284" s="23" t="s">
        <v>104</v>
      </c>
    </row>
    <row r="285" spans="1:2" ht="16.5" x14ac:dyDescent="0.2">
      <c r="A285" s="6" t="str">
        <f t="shared" si="4"/>
        <v>0</v>
      </c>
      <c r="B285" s="23" t="s">
        <v>104</v>
      </c>
    </row>
    <row r="286" spans="1:2" ht="16.5" x14ac:dyDescent="0.2">
      <c r="A286" s="6" t="str">
        <f t="shared" si="4"/>
        <v>0</v>
      </c>
      <c r="B286" s="23" t="s">
        <v>104</v>
      </c>
    </row>
    <row r="287" spans="1:2" ht="16.5" x14ac:dyDescent="0.2">
      <c r="A287" s="6" t="str">
        <f t="shared" si="4"/>
        <v>0</v>
      </c>
      <c r="B287" s="23" t="s">
        <v>104</v>
      </c>
    </row>
    <row r="288" spans="1:2" ht="16.5" x14ac:dyDescent="0.2">
      <c r="A288" s="6" t="str">
        <f t="shared" si="4"/>
        <v>0</v>
      </c>
      <c r="B288" s="23" t="s">
        <v>104</v>
      </c>
    </row>
    <row r="289" spans="1:2" ht="16.5" x14ac:dyDescent="0.2">
      <c r="A289" s="6" t="str">
        <f t="shared" si="4"/>
        <v>0</v>
      </c>
      <c r="B289" s="23" t="s">
        <v>104</v>
      </c>
    </row>
    <row r="290" spans="1:2" ht="16.5" x14ac:dyDescent="0.2">
      <c r="A290" s="6" t="str">
        <f t="shared" si="4"/>
        <v>0</v>
      </c>
      <c r="B290" s="23" t="s">
        <v>104</v>
      </c>
    </row>
    <row r="291" spans="1:2" ht="16.5" x14ac:dyDescent="0.2">
      <c r="A291" s="6" t="str">
        <f t="shared" si="4"/>
        <v>0</v>
      </c>
      <c r="B291" s="23" t="s">
        <v>104</v>
      </c>
    </row>
    <row r="292" spans="1:2" ht="16.5" x14ac:dyDescent="0.2">
      <c r="A292" s="6" t="str">
        <f t="shared" si="4"/>
        <v>0</v>
      </c>
      <c r="B292" s="23" t="s">
        <v>104</v>
      </c>
    </row>
    <row r="293" spans="1:2" ht="16.5" x14ac:dyDescent="0.2">
      <c r="A293" s="6" t="str">
        <f t="shared" si="4"/>
        <v>0</v>
      </c>
      <c r="B293" s="23" t="s">
        <v>104</v>
      </c>
    </row>
    <row r="294" spans="1:2" ht="16.5" x14ac:dyDescent="0.2">
      <c r="A294" s="6" t="str">
        <f t="shared" si="4"/>
        <v>0</v>
      </c>
      <c r="B294" s="23" t="s">
        <v>104</v>
      </c>
    </row>
    <row r="295" spans="1:2" ht="16.5" x14ac:dyDescent="0.2">
      <c r="A295" s="6" t="str">
        <f t="shared" si="4"/>
        <v>0</v>
      </c>
      <c r="B295" s="23" t="s">
        <v>104</v>
      </c>
    </row>
    <row r="296" spans="1:2" ht="16.5" x14ac:dyDescent="0.2">
      <c r="A296" s="6" t="str">
        <f t="shared" si="4"/>
        <v>0</v>
      </c>
      <c r="B296" s="23" t="s">
        <v>104</v>
      </c>
    </row>
    <row r="297" spans="1:2" ht="16.5" x14ac:dyDescent="0.2">
      <c r="A297" s="6" t="str">
        <f t="shared" si="4"/>
        <v>0</v>
      </c>
      <c r="B297" s="23" t="s">
        <v>104</v>
      </c>
    </row>
    <row r="298" spans="1:2" ht="16.5" x14ac:dyDescent="0.2">
      <c r="A298" s="6" t="str">
        <f t="shared" si="4"/>
        <v>0</v>
      </c>
      <c r="B298" s="23" t="s">
        <v>104</v>
      </c>
    </row>
    <row r="299" spans="1:2" ht="16.5" x14ac:dyDescent="0.2">
      <c r="A299" s="6" t="str">
        <f t="shared" si="4"/>
        <v>0</v>
      </c>
      <c r="B299" s="23" t="s">
        <v>104</v>
      </c>
    </row>
    <row r="300" spans="1:2" ht="16.5" x14ac:dyDescent="0.2">
      <c r="A300" s="6" t="str">
        <f t="shared" si="4"/>
        <v>0</v>
      </c>
      <c r="B300" s="23" t="s">
        <v>104</v>
      </c>
    </row>
    <row r="301" spans="1:2" ht="16.5" x14ac:dyDescent="0.2">
      <c r="A301" s="6" t="str">
        <f t="shared" si="4"/>
        <v>0</v>
      </c>
      <c r="B301" s="23" t="s">
        <v>104</v>
      </c>
    </row>
    <row r="302" spans="1:2" ht="16.5" x14ac:dyDescent="0.2">
      <c r="A302" s="6" t="str">
        <f t="shared" si="4"/>
        <v>0</v>
      </c>
      <c r="B302" s="23" t="s">
        <v>104</v>
      </c>
    </row>
    <row r="303" spans="1:2" ht="16.5" x14ac:dyDescent="0.2">
      <c r="A303" s="6" t="str">
        <f t="shared" si="4"/>
        <v>0</v>
      </c>
      <c r="B303" s="23" t="s">
        <v>104</v>
      </c>
    </row>
    <row r="304" spans="1:2" ht="16.5" x14ac:dyDescent="0.2">
      <c r="A304" s="6" t="str">
        <f t="shared" si="4"/>
        <v>0</v>
      </c>
      <c r="B304" s="23" t="s">
        <v>104</v>
      </c>
    </row>
    <row r="305" spans="1:2" ht="16.5" x14ac:dyDescent="0.2">
      <c r="A305" s="6" t="str">
        <f t="shared" si="4"/>
        <v>0</v>
      </c>
      <c r="B305" s="23" t="s">
        <v>104</v>
      </c>
    </row>
    <row r="306" spans="1:2" ht="16.5" x14ac:dyDescent="0.2">
      <c r="A306" s="6" t="str">
        <f t="shared" si="4"/>
        <v>0</v>
      </c>
      <c r="B306" s="23" t="s">
        <v>104</v>
      </c>
    </row>
    <row r="307" spans="1:2" ht="16.5" x14ac:dyDescent="0.2">
      <c r="A307" s="6" t="str">
        <f t="shared" si="4"/>
        <v>0</v>
      </c>
      <c r="B307" s="23" t="s">
        <v>104</v>
      </c>
    </row>
    <row r="308" spans="1:2" ht="16.5" x14ac:dyDescent="0.2">
      <c r="A308" s="6" t="str">
        <f t="shared" si="4"/>
        <v>0</v>
      </c>
      <c r="B308" s="23" t="s">
        <v>104</v>
      </c>
    </row>
    <row r="309" spans="1:2" ht="16.5" x14ac:dyDescent="0.2">
      <c r="A309" s="6" t="str">
        <f t="shared" si="4"/>
        <v>0</v>
      </c>
      <c r="B309" s="23" t="s">
        <v>104</v>
      </c>
    </row>
    <row r="310" spans="1:2" ht="16.5" x14ac:dyDescent="0.2">
      <c r="A310" s="6" t="str">
        <f t="shared" si="4"/>
        <v>0</v>
      </c>
      <c r="B310" s="23" t="s">
        <v>104</v>
      </c>
    </row>
    <row r="311" spans="1:2" ht="16.5" x14ac:dyDescent="0.2">
      <c r="A311" s="6" t="str">
        <f t="shared" si="4"/>
        <v>0</v>
      </c>
      <c r="B311" s="23" t="s">
        <v>104</v>
      </c>
    </row>
    <row r="312" spans="1:2" ht="16.5" x14ac:dyDescent="0.2">
      <c r="A312" s="6" t="str">
        <f t="shared" si="4"/>
        <v>0</v>
      </c>
      <c r="B312" s="23" t="s">
        <v>104</v>
      </c>
    </row>
    <row r="313" spans="1:2" ht="16.5" x14ac:dyDescent="0.2">
      <c r="A313" s="6" t="str">
        <f t="shared" si="4"/>
        <v>0</v>
      </c>
      <c r="B313" s="23" t="s">
        <v>104</v>
      </c>
    </row>
    <row r="314" spans="1:2" ht="16.5" x14ac:dyDescent="0.2">
      <c r="A314" s="6" t="str">
        <f t="shared" si="4"/>
        <v>0</v>
      </c>
      <c r="B314" s="23" t="s">
        <v>104</v>
      </c>
    </row>
    <row r="315" spans="1:2" ht="16.5" x14ac:dyDescent="0.2">
      <c r="A315" s="6" t="str">
        <f t="shared" si="4"/>
        <v>0</v>
      </c>
      <c r="B315" s="23" t="s">
        <v>104</v>
      </c>
    </row>
    <row r="316" spans="1:2" ht="16.5" x14ac:dyDescent="0.2">
      <c r="A316" s="6" t="str">
        <f t="shared" ref="A316:A379" si="5">LEN(G316)&amp;LEFT(G316,1)</f>
        <v>0</v>
      </c>
      <c r="B316" s="23" t="s">
        <v>104</v>
      </c>
    </row>
    <row r="317" spans="1:2" ht="16.5" x14ac:dyDescent="0.2">
      <c r="A317" s="6" t="str">
        <f t="shared" si="5"/>
        <v>0</v>
      </c>
      <c r="B317" s="23" t="s">
        <v>104</v>
      </c>
    </row>
    <row r="318" spans="1:2" ht="16.5" x14ac:dyDescent="0.2">
      <c r="A318" s="6" t="str">
        <f t="shared" si="5"/>
        <v>0</v>
      </c>
      <c r="B318" s="23" t="s">
        <v>104</v>
      </c>
    </row>
    <row r="319" spans="1:2" ht="16.5" x14ac:dyDescent="0.2">
      <c r="A319" s="6" t="str">
        <f t="shared" si="5"/>
        <v>0</v>
      </c>
      <c r="B319" s="23" t="s">
        <v>104</v>
      </c>
    </row>
    <row r="320" spans="1:2" ht="16.5" x14ac:dyDescent="0.2">
      <c r="A320" s="6" t="str">
        <f t="shared" si="5"/>
        <v>0</v>
      </c>
      <c r="B320" s="23" t="s">
        <v>104</v>
      </c>
    </row>
    <row r="321" spans="1:2" ht="16.5" x14ac:dyDescent="0.2">
      <c r="A321" s="6" t="str">
        <f t="shared" si="5"/>
        <v>0</v>
      </c>
      <c r="B321" s="23" t="s">
        <v>104</v>
      </c>
    </row>
    <row r="322" spans="1:2" ht="16.5" x14ac:dyDescent="0.2">
      <c r="A322" s="6" t="str">
        <f t="shared" si="5"/>
        <v>0</v>
      </c>
      <c r="B322" s="23" t="s">
        <v>104</v>
      </c>
    </row>
    <row r="323" spans="1:2" ht="16.5" x14ac:dyDescent="0.2">
      <c r="A323" s="6" t="str">
        <f t="shared" si="5"/>
        <v>0</v>
      </c>
      <c r="B323" s="23" t="s">
        <v>104</v>
      </c>
    </row>
    <row r="324" spans="1:2" ht="16.5" x14ac:dyDescent="0.2">
      <c r="A324" s="6" t="str">
        <f t="shared" si="5"/>
        <v>0</v>
      </c>
      <c r="B324" s="23" t="s">
        <v>104</v>
      </c>
    </row>
    <row r="325" spans="1:2" ht="16.5" x14ac:dyDescent="0.2">
      <c r="A325" s="6" t="str">
        <f t="shared" si="5"/>
        <v>0</v>
      </c>
      <c r="B325" s="23" t="s">
        <v>104</v>
      </c>
    </row>
    <row r="326" spans="1:2" ht="16.5" x14ac:dyDescent="0.2">
      <c r="A326" s="6" t="str">
        <f t="shared" si="5"/>
        <v>0</v>
      </c>
      <c r="B326" s="23" t="s">
        <v>104</v>
      </c>
    </row>
    <row r="327" spans="1:2" ht="16.5" x14ac:dyDescent="0.2">
      <c r="A327" s="6" t="str">
        <f t="shared" si="5"/>
        <v>0</v>
      </c>
      <c r="B327" s="23" t="s">
        <v>104</v>
      </c>
    </row>
    <row r="328" spans="1:2" ht="16.5" x14ac:dyDescent="0.2">
      <c r="A328" s="6" t="str">
        <f t="shared" si="5"/>
        <v>0</v>
      </c>
      <c r="B328" s="23" t="s">
        <v>104</v>
      </c>
    </row>
    <row r="329" spans="1:2" ht="16.5" x14ac:dyDescent="0.2">
      <c r="A329" s="6" t="str">
        <f t="shared" si="5"/>
        <v>0</v>
      </c>
      <c r="B329" s="23" t="s">
        <v>104</v>
      </c>
    </row>
    <row r="330" spans="1:2" ht="16.5" x14ac:dyDescent="0.2">
      <c r="A330" s="6" t="str">
        <f t="shared" si="5"/>
        <v>0</v>
      </c>
      <c r="B330" s="23" t="s">
        <v>104</v>
      </c>
    </row>
    <row r="331" spans="1:2" ht="16.5" x14ac:dyDescent="0.2">
      <c r="A331" s="6" t="str">
        <f t="shared" si="5"/>
        <v>0</v>
      </c>
      <c r="B331" s="23" t="s">
        <v>104</v>
      </c>
    </row>
    <row r="332" spans="1:2" ht="16.5" x14ac:dyDescent="0.2">
      <c r="A332" s="6" t="str">
        <f t="shared" si="5"/>
        <v>0</v>
      </c>
      <c r="B332" s="23" t="s">
        <v>104</v>
      </c>
    </row>
    <row r="333" spans="1:2" ht="16.5" x14ac:dyDescent="0.2">
      <c r="A333" s="6" t="str">
        <f t="shared" si="5"/>
        <v>0</v>
      </c>
      <c r="B333" s="23" t="s">
        <v>104</v>
      </c>
    </row>
    <row r="334" spans="1:2" ht="16.5" x14ac:dyDescent="0.2">
      <c r="A334" s="6" t="str">
        <f t="shared" si="5"/>
        <v>0</v>
      </c>
      <c r="B334" s="23" t="s">
        <v>104</v>
      </c>
    </row>
    <row r="335" spans="1:2" ht="16.5" x14ac:dyDescent="0.2">
      <c r="A335" s="6" t="str">
        <f t="shared" si="5"/>
        <v>0</v>
      </c>
      <c r="B335" s="23" t="s">
        <v>104</v>
      </c>
    </row>
    <row r="336" spans="1:2" ht="16.5" x14ac:dyDescent="0.2">
      <c r="A336" s="6" t="str">
        <f t="shared" si="5"/>
        <v>0</v>
      </c>
      <c r="B336" s="23" t="s">
        <v>104</v>
      </c>
    </row>
    <row r="337" spans="1:2" ht="16.5" x14ac:dyDescent="0.2">
      <c r="A337" s="6" t="str">
        <f t="shared" si="5"/>
        <v>0</v>
      </c>
      <c r="B337" s="23" t="s">
        <v>104</v>
      </c>
    </row>
    <row r="338" spans="1:2" ht="16.5" x14ac:dyDescent="0.2">
      <c r="A338" s="6" t="str">
        <f t="shared" si="5"/>
        <v>0</v>
      </c>
      <c r="B338" s="23" t="s">
        <v>104</v>
      </c>
    </row>
    <row r="339" spans="1:2" ht="16.5" x14ac:dyDescent="0.2">
      <c r="A339" s="6" t="str">
        <f t="shared" si="5"/>
        <v>0</v>
      </c>
      <c r="B339" s="23" t="s">
        <v>104</v>
      </c>
    </row>
    <row r="340" spans="1:2" ht="16.5" x14ac:dyDescent="0.2">
      <c r="A340" s="6" t="str">
        <f t="shared" si="5"/>
        <v>0</v>
      </c>
      <c r="B340" s="23" t="s">
        <v>104</v>
      </c>
    </row>
    <row r="341" spans="1:2" ht="16.5" x14ac:dyDescent="0.2">
      <c r="A341" s="6" t="str">
        <f t="shared" si="5"/>
        <v>0</v>
      </c>
      <c r="B341" s="23" t="s">
        <v>104</v>
      </c>
    </row>
    <row r="342" spans="1:2" ht="16.5" x14ac:dyDescent="0.2">
      <c r="A342" s="6" t="str">
        <f t="shared" si="5"/>
        <v>0</v>
      </c>
      <c r="B342" s="23" t="s">
        <v>104</v>
      </c>
    </row>
    <row r="343" spans="1:2" ht="16.5" x14ac:dyDescent="0.2">
      <c r="A343" s="6" t="str">
        <f t="shared" si="5"/>
        <v>0</v>
      </c>
      <c r="B343" s="23" t="s">
        <v>104</v>
      </c>
    </row>
    <row r="344" spans="1:2" ht="16.5" x14ac:dyDescent="0.2">
      <c r="A344" s="6" t="str">
        <f t="shared" si="5"/>
        <v>0</v>
      </c>
      <c r="B344" s="23" t="s">
        <v>104</v>
      </c>
    </row>
    <row r="345" spans="1:2" ht="16.5" x14ac:dyDescent="0.2">
      <c r="A345" s="6" t="str">
        <f t="shared" si="5"/>
        <v>0</v>
      </c>
      <c r="B345" s="23" t="s">
        <v>104</v>
      </c>
    </row>
    <row r="346" spans="1:2" ht="16.5" x14ac:dyDescent="0.2">
      <c r="A346" s="6" t="str">
        <f t="shared" si="5"/>
        <v>0</v>
      </c>
      <c r="B346" s="23" t="s">
        <v>104</v>
      </c>
    </row>
    <row r="347" spans="1:2" ht="16.5" x14ac:dyDescent="0.2">
      <c r="A347" s="6" t="str">
        <f t="shared" si="5"/>
        <v>0</v>
      </c>
      <c r="B347" s="23" t="s">
        <v>104</v>
      </c>
    </row>
    <row r="348" spans="1:2" ht="16.5" x14ac:dyDescent="0.2">
      <c r="A348" s="6" t="str">
        <f t="shared" si="5"/>
        <v>0</v>
      </c>
      <c r="B348" s="23" t="s">
        <v>104</v>
      </c>
    </row>
    <row r="349" spans="1:2" ht="16.5" x14ac:dyDescent="0.2">
      <c r="A349" s="6" t="str">
        <f t="shared" si="5"/>
        <v>0</v>
      </c>
      <c r="B349" s="23" t="s">
        <v>104</v>
      </c>
    </row>
    <row r="350" spans="1:2" ht="16.5" x14ac:dyDescent="0.2">
      <c r="A350" s="6" t="str">
        <f t="shared" si="5"/>
        <v>0</v>
      </c>
      <c r="B350" s="23" t="s">
        <v>104</v>
      </c>
    </row>
    <row r="351" spans="1:2" ht="16.5" x14ac:dyDescent="0.2">
      <c r="A351" s="6" t="str">
        <f t="shared" si="5"/>
        <v>0</v>
      </c>
      <c r="B351" s="23" t="s">
        <v>104</v>
      </c>
    </row>
    <row r="352" spans="1:2" ht="16.5" x14ac:dyDescent="0.2">
      <c r="A352" s="6" t="str">
        <f t="shared" si="5"/>
        <v>0</v>
      </c>
      <c r="B352" s="23" t="s">
        <v>104</v>
      </c>
    </row>
    <row r="353" spans="1:2" ht="16.5" x14ac:dyDescent="0.2">
      <c r="A353" s="6" t="str">
        <f t="shared" si="5"/>
        <v>0</v>
      </c>
      <c r="B353" s="23" t="s">
        <v>104</v>
      </c>
    </row>
    <row r="354" spans="1:2" ht="16.5" x14ac:dyDescent="0.2">
      <c r="A354" s="6" t="str">
        <f t="shared" si="5"/>
        <v>0</v>
      </c>
      <c r="B354" s="23" t="s">
        <v>104</v>
      </c>
    </row>
    <row r="355" spans="1:2" ht="16.5" x14ac:dyDescent="0.2">
      <c r="A355" s="6" t="str">
        <f t="shared" si="5"/>
        <v>0</v>
      </c>
      <c r="B355" s="23" t="s">
        <v>104</v>
      </c>
    </row>
    <row r="356" spans="1:2" ht="16.5" x14ac:dyDescent="0.2">
      <c r="A356" s="6" t="str">
        <f t="shared" si="5"/>
        <v>0</v>
      </c>
      <c r="B356" s="23" t="s">
        <v>104</v>
      </c>
    </row>
    <row r="357" spans="1:2" ht="16.5" x14ac:dyDescent="0.2">
      <c r="A357" s="6" t="str">
        <f t="shared" si="5"/>
        <v>0</v>
      </c>
      <c r="B357" s="23" t="s">
        <v>104</v>
      </c>
    </row>
    <row r="358" spans="1:2" ht="16.5" x14ac:dyDescent="0.2">
      <c r="A358" s="6" t="str">
        <f t="shared" si="5"/>
        <v>0</v>
      </c>
      <c r="B358" s="23" t="s">
        <v>104</v>
      </c>
    </row>
    <row r="359" spans="1:2" ht="16.5" x14ac:dyDescent="0.2">
      <c r="A359" s="6" t="str">
        <f t="shared" si="5"/>
        <v>0</v>
      </c>
      <c r="B359" s="23" t="s">
        <v>104</v>
      </c>
    </row>
    <row r="360" spans="1:2" ht="16.5" x14ac:dyDescent="0.2">
      <c r="A360" s="6" t="str">
        <f t="shared" si="5"/>
        <v>0</v>
      </c>
      <c r="B360" s="23" t="s">
        <v>104</v>
      </c>
    </row>
    <row r="361" spans="1:2" ht="16.5" x14ac:dyDescent="0.2">
      <c r="A361" s="6" t="str">
        <f t="shared" si="5"/>
        <v>0</v>
      </c>
      <c r="B361" s="23" t="s">
        <v>104</v>
      </c>
    </row>
    <row r="362" spans="1:2" ht="16.5" x14ac:dyDescent="0.2">
      <c r="A362" s="6" t="str">
        <f t="shared" si="5"/>
        <v>0</v>
      </c>
      <c r="B362" s="23" t="s">
        <v>104</v>
      </c>
    </row>
    <row r="363" spans="1:2" ht="16.5" x14ac:dyDescent="0.2">
      <c r="A363" s="6" t="str">
        <f t="shared" si="5"/>
        <v>0</v>
      </c>
      <c r="B363" s="23" t="s">
        <v>104</v>
      </c>
    </row>
    <row r="364" spans="1:2" ht="16.5" x14ac:dyDescent="0.2">
      <c r="A364" s="6" t="str">
        <f t="shared" si="5"/>
        <v>0</v>
      </c>
      <c r="B364" s="23" t="s">
        <v>104</v>
      </c>
    </row>
    <row r="365" spans="1:2" ht="16.5" x14ac:dyDescent="0.2">
      <c r="A365" s="6" t="str">
        <f t="shared" si="5"/>
        <v>0</v>
      </c>
      <c r="B365" s="23" t="s">
        <v>104</v>
      </c>
    </row>
    <row r="366" spans="1:2" ht="16.5" x14ac:dyDescent="0.2">
      <c r="A366" s="6" t="str">
        <f t="shared" si="5"/>
        <v>0</v>
      </c>
      <c r="B366" s="23" t="s">
        <v>104</v>
      </c>
    </row>
    <row r="367" spans="1:2" ht="16.5" x14ac:dyDescent="0.2">
      <c r="A367" s="6" t="str">
        <f t="shared" si="5"/>
        <v>0</v>
      </c>
      <c r="B367" s="23" t="s">
        <v>104</v>
      </c>
    </row>
    <row r="368" spans="1:2" ht="16.5" x14ac:dyDescent="0.2">
      <c r="A368" s="6" t="str">
        <f t="shared" si="5"/>
        <v>0</v>
      </c>
      <c r="B368" s="23" t="s">
        <v>104</v>
      </c>
    </row>
    <row r="369" spans="1:2" ht="16.5" x14ac:dyDescent="0.2">
      <c r="A369" s="6" t="str">
        <f t="shared" si="5"/>
        <v>0</v>
      </c>
      <c r="B369" s="23" t="s">
        <v>104</v>
      </c>
    </row>
    <row r="370" spans="1:2" ht="16.5" x14ac:dyDescent="0.2">
      <c r="A370" s="6" t="str">
        <f t="shared" si="5"/>
        <v>0</v>
      </c>
      <c r="B370" s="23" t="s">
        <v>104</v>
      </c>
    </row>
    <row r="371" spans="1:2" ht="16.5" x14ac:dyDescent="0.2">
      <c r="A371" s="6" t="str">
        <f t="shared" si="5"/>
        <v>0</v>
      </c>
      <c r="B371" s="23" t="s">
        <v>104</v>
      </c>
    </row>
    <row r="372" spans="1:2" ht="16.5" x14ac:dyDescent="0.2">
      <c r="A372" s="6" t="str">
        <f t="shared" si="5"/>
        <v>0</v>
      </c>
      <c r="B372" s="23" t="s">
        <v>104</v>
      </c>
    </row>
    <row r="373" spans="1:2" ht="16.5" x14ac:dyDescent="0.2">
      <c r="A373" s="6" t="str">
        <f t="shared" si="5"/>
        <v>0</v>
      </c>
      <c r="B373" s="23" t="s">
        <v>104</v>
      </c>
    </row>
    <row r="374" spans="1:2" ht="16.5" x14ac:dyDescent="0.2">
      <c r="A374" s="6" t="str">
        <f t="shared" si="5"/>
        <v>0</v>
      </c>
      <c r="B374" s="23" t="s">
        <v>104</v>
      </c>
    </row>
    <row r="375" spans="1:2" ht="16.5" x14ac:dyDescent="0.2">
      <c r="A375" s="6" t="str">
        <f t="shared" si="5"/>
        <v>0</v>
      </c>
      <c r="B375" s="23" t="s">
        <v>104</v>
      </c>
    </row>
    <row r="376" spans="1:2" ht="16.5" x14ac:dyDescent="0.2">
      <c r="A376" s="6" t="str">
        <f t="shared" si="5"/>
        <v>0</v>
      </c>
      <c r="B376" s="23" t="s">
        <v>104</v>
      </c>
    </row>
    <row r="377" spans="1:2" ht="16.5" x14ac:dyDescent="0.2">
      <c r="A377" s="6" t="str">
        <f t="shared" si="5"/>
        <v>0</v>
      </c>
      <c r="B377" s="23" t="s">
        <v>104</v>
      </c>
    </row>
    <row r="378" spans="1:2" ht="16.5" x14ac:dyDescent="0.2">
      <c r="A378" s="6" t="str">
        <f t="shared" si="5"/>
        <v>0</v>
      </c>
      <c r="B378" s="23" t="s">
        <v>104</v>
      </c>
    </row>
    <row r="379" spans="1:2" ht="16.5" x14ac:dyDescent="0.2">
      <c r="A379" s="6" t="str">
        <f t="shared" si="5"/>
        <v>0</v>
      </c>
      <c r="B379" s="23" t="s">
        <v>104</v>
      </c>
    </row>
    <row r="380" spans="1:2" ht="16.5" x14ac:dyDescent="0.2">
      <c r="A380" s="6" t="str">
        <f t="shared" ref="A380:A443" si="6">LEN(G380)&amp;LEFT(G380,1)</f>
        <v>0</v>
      </c>
      <c r="B380" s="23" t="s">
        <v>104</v>
      </c>
    </row>
    <row r="381" spans="1:2" ht="16.5" x14ac:dyDescent="0.2">
      <c r="A381" s="6" t="str">
        <f t="shared" si="6"/>
        <v>0</v>
      </c>
      <c r="B381" s="23" t="s">
        <v>104</v>
      </c>
    </row>
    <row r="382" spans="1:2" ht="16.5" x14ac:dyDescent="0.2">
      <c r="A382" s="6" t="str">
        <f t="shared" si="6"/>
        <v>0</v>
      </c>
      <c r="B382" s="23" t="s">
        <v>104</v>
      </c>
    </row>
    <row r="383" spans="1:2" ht="16.5" x14ac:dyDescent="0.2">
      <c r="A383" s="6" t="str">
        <f t="shared" si="6"/>
        <v>0</v>
      </c>
      <c r="B383" s="23" t="s">
        <v>104</v>
      </c>
    </row>
    <row r="384" spans="1:2" ht="16.5" x14ac:dyDescent="0.2">
      <c r="A384" s="6" t="str">
        <f t="shared" si="6"/>
        <v>0</v>
      </c>
      <c r="B384" s="23" t="s">
        <v>104</v>
      </c>
    </row>
    <row r="385" spans="1:2" ht="16.5" x14ac:dyDescent="0.2">
      <c r="A385" s="6" t="str">
        <f t="shared" si="6"/>
        <v>0</v>
      </c>
      <c r="B385" s="23" t="s">
        <v>104</v>
      </c>
    </row>
    <row r="386" spans="1:2" ht="16.5" x14ac:dyDescent="0.2">
      <c r="A386" s="6" t="str">
        <f t="shared" si="6"/>
        <v>0</v>
      </c>
      <c r="B386" s="23" t="s">
        <v>104</v>
      </c>
    </row>
    <row r="387" spans="1:2" ht="16.5" x14ac:dyDescent="0.2">
      <c r="A387" s="6" t="str">
        <f t="shared" si="6"/>
        <v>0</v>
      </c>
      <c r="B387" s="23" t="s">
        <v>104</v>
      </c>
    </row>
    <row r="388" spans="1:2" ht="16.5" x14ac:dyDescent="0.2">
      <c r="A388" s="6" t="str">
        <f t="shared" si="6"/>
        <v>0</v>
      </c>
      <c r="B388" s="23" t="s">
        <v>104</v>
      </c>
    </row>
    <row r="389" spans="1:2" ht="16.5" x14ac:dyDescent="0.2">
      <c r="A389" s="6" t="str">
        <f t="shared" si="6"/>
        <v>0</v>
      </c>
      <c r="B389" s="23" t="s">
        <v>104</v>
      </c>
    </row>
    <row r="390" spans="1:2" ht="16.5" x14ac:dyDescent="0.2">
      <c r="A390" s="6" t="str">
        <f t="shared" si="6"/>
        <v>0</v>
      </c>
      <c r="B390" s="23" t="s">
        <v>104</v>
      </c>
    </row>
    <row r="391" spans="1:2" ht="16.5" x14ac:dyDescent="0.2">
      <c r="A391" s="6" t="str">
        <f t="shared" si="6"/>
        <v>0</v>
      </c>
      <c r="B391" s="23" t="s">
        <v>104</v>
      </c>
    </row>
    <row r="392" spans="1:2" ht="16.5" x14ac:dyDescent="0.2">
      <c r="A392" s="6" t="str">
        <f t="shared" si="6"/>
        <v>0</v>
      </c>
      <c r="B392" s="23" t="s">
        <v>104</v>
      </c>
    </row>
    <row r="393" spans="1:2" ht="16.5" x14ac:dyDescent="0.2">
      <c r="A393" s="6" t="str">
        <f t="shared" si="6"/>
        <v>0</v>
      </c>
      <c r="B393" s="23" t="s">
        <v>104</v>
      </c>
    </row>
    <row r="394" spans="1:2" ht="16.5" x14ac:dyDescent="0.2">
      <c r="A394" s="6" t="str">
        <f t="shared" si="6"/>
        <v>0</v>
      </c>
      <c r="B394" s="23" t="s">
        <v>104</v>
      </c>
    </row>
    <row r="395" spans="1:2" ht="16.5" x14ac:dyDescent="0.2">
      <c r="A395" s="6" t="str">
        <f t="shared" si="6"/>
        <v>0</v>
      </c>
      <c r="B395" s="23" t="s">
        <v>104</v>
      </c>
    </row>
    <row r="396" spans="1:2" ht="16.5" x14ac:dyDescent="0.2">
      <c r="A396" s="6" t="str">
        <f t="shared" si="6"/>
        <v>0</v>
      </c>
      <c r="B396" s="23" t="s">
        <v>104</v>
      </c>
    </row>
    <row r="397" spans="1:2" ht="16.5" x14ac:dyDescent="0.2">
      <c r="A397" s="6" t="str">
        <f t="shared" si="6"/>
        <v>0</v>
      </c>
      <c r="B397" s="23" t="s">
        <v>104</v>
      </c>
    </row>
    <row r="398" spans="1:2" ht="16.5" x14ac:dyDescent="0.2">
      <c r="A398" s="6" t="str">
        <f t="shared" si="6"/>
        <v>0</v>
      </c>
      <c r="B398" s="23" t="s">
        <v>104</v>
      </c>
    </row>
    <row r="399" spans="1:2" ht="16.5" x14ac:dyDescent="0.2">
      <c r="A399" s="6" t="str">
        <f t="shared" si="6"/>
        <v>0</v>
      </c>
      <c r="B399" s="23" t="s">
        <v>104</v>
      </c>
    </row>
    <row r="400" spans="1:2" ht="16.5" x14ac:dyDescent="0.2">
      <c r="A400" s="6" t="str">
        <f t="shared" si="6"/>
        <v>0</v>
      </c>
      <c r="B400" s="23" t="s">
        <v>104</v>
      </c>
    </row>
    <row r="401" spans="1:2" ht="16.5" x14ac:dyDescent="0.2">
      <c r="A401" s="6" t="str">
        <f t="shared" si="6"/>
        <v>0</v>
      </c>
      <c r="B401" s="23" t="s">
        <v>104</v>
      </c>
    </row>
    <row r="402" spans="1:2" ht="16.5" x14ac:dyDescent="0.2">
      <c r="A402" s="6" t="str">
        <f t="shared" si="6"/>
        <v>0</v>
      </c>
      <c r="B402" s="23" t="s">
        <v>104</v>
      </c>
    </row>
    <row r="403" spans="1:2" ht="16.5" x14ac:dyDescent="0.2">
      <c r="A403" s="6" t="str">
        <f t="shared" si="6"/>
        <v>0</v>
      </c>
      <c r="B403" s="23" t="s">
        <v>104</v>
      </c>
    </row>
    <row r="404" spans="1:2" ht="16.5" x14ac:dyDescent="0.2">
      <c r="A404" s="6" t="str">
        <f t="shared" si="6"/>
        <v>0</v>
      </c>
      <c r="B404" s="23" t="s">
        <v>104</v>
      </c>
    </row>
    <row r="405" spans="1:2" ht="16.5" x14ac:dyDescent="0.2">
      <c r="A405" s="6" t="str">
        <f t="shared" si="6"/>
        <v>0</v>
      </c>
      <c r="B405" s="23" t="s">
        <v>104</v>
      </c>
    </row>
    <row r="406" spans="1:2" ht="16.5" x14ac:dyDescent="0.2">
      <c r="A406" s="6" t="str">
        <f t="shared" si="6"/>
        <v>0</v>
      </c>
      <c r="B406" s="23" t="s">
        <v>104</v>
      </c>
    </row>
    <row r="407" spans="1:2" ht="16.5" x14ac:dyDescent="0.2">
      <c r="A407" s="6" t="str">
        <f t="shared" si="6"/>
        <v>0</v>
      </c>
      <c r="B407" s="23" t="s">
        <v>104</v>
      </c>
    </row>
    <row r="408" spans="1:2" ht="16.5" x14ac:dyDescent="0.2">
      <c r="A408" s="6" t="str">
        <f t="shared" si="6"/>
        <v>0</v>
      </c>
      <c r="B408" s="23" t="s">
        <v>104</v>
      </c>
    </row>
    <row r="409" spans="1:2" ht="16.5" x14ac:dyDescent="0.2">
      <c r="A409" s="6" t="str">
        <f t="shared" si="6"/>
        <v>0</v>
      </c>
      <c r="B409" s="23" t="s">
        <v>104</v>
      </c>
    </row>
    <row r="410" spans="1:2" ht="16.5" x14ac:dyDescent="0.2">
      <c r="A410" s="6" t="str">
        <f t="shared" si="6"/>
        <v>0</v>
      </c>
      <c r="B410" s="23" t="s">
        <v>104</v>
      </c>
    </row>
    <row r="411" spans="1:2" ht="16.5" x14ac:dyDescent="0.2">
      <c r="A411" s="6" t="str">
        <f t="shared" si="6"/>
        <v>0</v>
      </c>
      <c r="B411" s="23" t="s">
        <v>104</v>
      </c>
    </row>
    <row r="412" spans="1:2" ht="16.5" x14ac:dyDescent="0.2">
      <c r="A412" s="6" t="str">
        <f t="shared" si="6"/>
        <v>0</v>
      </c>
      <c r="B412" s="23" t="s">
        <v>104</v>
      </c>
    </row>
    <row r="413" spans="1:2" ht="16.5" x14ac:dyDescent="0.2">
      <c r="A413" s="6" t="str">
        <f t="shared" si="6"/>
        <v>0</v>
      </c>
      <c r="B413" s="23" t="s">
        <v>104</v>
      </c>
    </row>
    <row r="414" spans="1:2" ht="16.5" x14ac:dyDescent="0.2">
      <c r="A414" s="6" t="str">
        <f t="shared" si="6"/>
        <v>0</v>
      </c>
      <c r="B414" s="23" t="s">
        <v>104</v>
      </c>
    </row>
    <row r="415" spans="1:2" ht="16.5" x14ac:dyDescent="0.2">
      <c r="A415" s="6" t="str">
        <f t="shared" si="6"/>
        <v>0</v>
      </c>
      <c r="B415" s="23" t="s">
        <v>104</v>
      </c>
    </row>
    <row r="416" spans="1:2" ht="16.5" x14ac:dyDescent="0.2">
      <c r="A416" s="6" t="str">
        <f t="shared" si="6"/>
        <v>0</v>
      </c>
      <c r="B416" s="23" t="s">
        <v>104</v>
      </c>
    </row>
    <row r="417" spans="1:2" ht="16.5" x14ac:dyDescent="0.2">
      <c r="A417" s="6" t="str">
        <f t="shared" si="6"/>
        <v>0</v>
      </c>
      <c r="B417" s="23" t="s">
        <v>104</v>
      </c>
    </row>
    <row r="418" spans="1:2" ht="16.5" x14ac:dyDescent="0.2">
      <c r="A418" s="6" t="str">
        <f t="shared" si="6"/>
        <v>0</v>
      </c>
      <c r="B418" s="23" t="s">
        <v>104</v>
      </c>
    </row>
    <row r="419" spans="1:2" ht="16.5" x14ac:dyDescent="0.2">
      <c r="A419" s="6" t="str">
        <f t="shared" si="6"/>
        <v>0</v>
      </c>
      <c r="B419" s="23" t="s">
        <v>104</v>
      </c>
    </row>
    <row r="420" spans="1:2" ht="16.5" x14ac:dyDescent="0.2">
      <c r="A420" s="6" t="str">
        <f t="shared" si="6"/>
        <v>0</v>
      </c>
      <c r="B420" s="23" t="s">
        <v>104</v>
      </c>
    </row>
    <row r="421" spans="1:2" ht="16.5" x14ac:dyDescent="0.2">
      <c r="A421" s="6" t="str">
        <f t="shared" si="6"/>
        <v>0</v>
      </c>
      <c r="B421" s="23" t="s">
        <v>104</v>
      </c>
    </row>
    <row r="422" spans="1:2" ht="16.5" x14ac:dyDescent="0.2">
      <c r="A422" s="6" t="str">
        <f t="shared" si="6"/>
        <v>0</v>
      </c>
      <c r="B422" s="23" t="s">
        <v>104</v>
      </c>
    </row>
    <row r="423" spans="1:2" ht="16.5" x14ac:dyDescent="0.2">
      <c r="A423" s="6" t="str">
        <f t="shared" si="6"/>
        <v>0</v>
      </c>
      <c r="B423" s="23" t="s">
        <v>104</v>
      </c>
    </row>
    <row r="424" spans="1:2" ht="16.5" x14ac:dyDescent="0.2">
      <c r="A424" s="6" t="str">
        <f t="shared" si="6"/>
        <v>0</v>
      </c>
      <c r="B424" s="23" t="s">
        <v>104</v>
      </c>
    </row>
    <row r="425" spans="1:2" ht="16.5" x14ac:dyDescent="0.2">
      <c r="A425" s="6" t="str">
        <f t="shared" si="6"/>
        <v>0</v>
      </c>
      <c r="B425" s="23" t="s">
        <v>104</v>
      </c>
    </row>
    <row r="426" spans="1:2" ht="16.5" x14ac:dyDescent="0.2">
      <c r="A426" s="6" t="str">
        <f t="shared" si="6"/>
        <v>0</v>
      </c>
      <c r="B426" s="23" t="s">
        <v>104</v>
      </c>
    </row>
    <row r="427" spans="1:2" ht="16.5" x14ac:dyDescent="0.2">
      <c r="A427" s="6" t="str">
        <f t="shared" si="6"/>
        <v>0</v>
      </c>
      <c r="B427" s="23" t="s">
        <v>104</v>
      </c>
    </row>
    <row r="428" spans="1:2" ht="16.5" x14ac:dyDescent="0.2">
      <c r="A428" s="6" t="str">
        <f t="shared" si="6"/>
        <v>0</v>
      </c>
      <c r="B428" s="23" t="s">
        <v>104</v>
      </c>
    </row>
    <row r="429" spans="1:2" ht="16.5" x14ac:dyDescent="0.2">
      <c r="A429" s="6" t="str">
        <f t="shared" si="6"/>
        <v>0</v>
      </c>
      <c r="B429" s="23" t="s">
        <v>104</v>
      </c>
    </row>
    <row r="430" spans="1:2" ht="16.5" x14ac:dyDescent="0.2">
      <c r="A430" s="6" t="str">
        <f t="shared" si="6"/>
        <v>0</v>
      </c>
      <c r="B430" s="23" t="s">
        <v>104</v>
      </c>
    </row>
    <row r="431" spans="1:2" ht="16.5" x14ac:dyDescent="0.2">
      <c r="A431" s="6" t="str">
        <f t="shared" si="6"/>
        <v>0</v>
      </c>
      <c r="B431" s="23" t="s">
        <v>104</v>
      </c>
    </row>
    <row r="432" spans="1:2" ht="16.5" x14ac:dyDescent="0.2">
      <c r="A432" s="6" t="str">
        <f t="shared" si="6"/>
        <v>0</v>
      </c>
      <c r="B432" s="23" t="s">
        <v>104</v>
      </c>
    </row>
    <row r="433" spans="1:2" ht="16.5" x14ac:dyDescent="0.2">
      <c r="A433" s="6" t="str">
        <f t="shared" si="6"/>
        <v>0</v>
      </c>
      <c r="B433" s="23" t="s">
        <v>104</v>
      </c>
    </row>
    <row r="434" spans="1:2" ht="16.5" x14ac:dyDescent="0.2">
      <c r="A434" s="6" t="str">
        <f t="shared" si="6"/>
        <v>0</v>
      </c>
      <c r="B434" s="23" t="s">
        <v>104</v>
      </c>
    </row>
    <row r="435" spans="1:2" ht="16.5" x14ac:dyDescent="0.2">
      <c r="A435" s="6" t="str">
        <f t="shared" si="6"/>
        <v>0</v>
      </c>
      <c r="B435" s="23" t="s">
        <v>104</v>
      </c>
    </row>
    <row r="436" spans="1:2" ht="16.5" x14ac:dyDescent="0.2">
      <c r="A436" s="6" t="str">
        <f t="shared" si="6"/>
        <v>0</v>
      </c>
      <c r="B436" s="23" t="s">
        <v>104</v>
      </c>
    </row>
    <row r="437" spans="1:2" ht="16.5" x14ac:dyDescent="0.2">
      <c r="A437" s="6" t="str">
        <f t="shared" si="6"/>
        <v>0</v>
      </c>
      <c r="B437" s="23" t="s">
        <v>104</v>
      </c>
    </row>
    <row r="438" spans="1:2" ht="16.5" x14ac:dyDescent="0.2">
      <c r="A438" s="6" t="str">
        <f t="shared" si="6"/>
        <v>0</v>
      </c>
      <c r="B438" s="23" t="s">
        <v>104</v>
      </c>
    </row>
    <row r="439" spans="1:2" ht="16.5" x14ac:dyDescent="0.2">
      <c r="A439" s="6" t="str">
        <f t="shared" si="6"/>
        <v>0</v>
      </c>
      <c r="B439" s="23" t="s">
        <v>104</v>
      </c>
    </row>
    <row r="440" spans="1:2" ht="16.5" x14ac:dyDescent="0.2">
      <c r="A440" s="6" t="str">
        <f t="shared" si="6"/>
        <v>0</v>
      </c>
      <c r="B440" s="23" t="s">
        <v>104</v>
      </c>
    </row>
    <row r="441" spans="1:2" ht="16.5" x14ac:dyDescent="0.2">
      <c r="A441" s="6" t="str">
        <f t="shared" si="6"/>
        <v>0</v>
      </c>
      <c r="B441" s="23" t="s">
        <v>104</v>
      </c>
    </row>
    <row r="442" spans="1:2" ht="16.5" x14ac:dyDescent="0.2">
      <c r="A442" s="6" t="str">
        <f t="shared" si="6"/>
        <v>0</v>
      </c>
      <c r="B442" s="23" t="s">
        <v>104</v>
      </c>
    </row>
    <row r="443" spans="1:2" ht="16.5" x14ac:dyDescent="0.2">
      <c r="A443" s="6" t="str">
        <f t="shared" si="6"/>
        <v>0</v>
      </c>
      <c r="B443" s="23" t="s">
        <v>104</v>
      </c>
    </row>
    <row r="444" spans="1:2" ht="16.5" x14ac:dyDescent="0.2">
      <c r="A444" s="6" t="str">
        <f t="shared" ref="A444:A507" si="7">LEN(G444)&amp;LEFT(G444,1)</f>
        <v>0</v>
      </c>
      <c r="B444" s="23" t="s">
        <v>104</v>
      </c>
    </row>
    <row r="445" spans="1:2" ht="16.5" x14ac:dyDescent="0.2">
      <c r="A445" s="6" t="str">
        <f t="shared" si="7"/>
        <v>0</v>
      </c>
      <c r="B445" s="23" t="s">
        <v>104</v>
      </c>
    </row>
    <row r="446" spans="1:2" ht="16.5" x14ac:dyDescent="0.2">
      <c r="A446" s="6" t="str">
        <f t="shared" si="7"/>
        <v>0</v>
      </c>
      <c r="B446" s="23" t="s">
        <v>104</v>
      </c>
    </row>
    <row r="447" spans="1:2" ht="16.5" x14ac:dyDescent="0.2">
      <c r="A447" s="6" t="str">
        <f t="shared" si="7"/>
        <v>0</v>
      </c>
      <c r="B447" s="23" t="s">
        <v>104</v>
      </c>
    </row>
    <row r="448" spans="1:2" ht="16.5" x14ac:dyDescent="0.2">
      <c r="A448" s="6" t="str">
        <f t="shared" si="7"/>
        <v>0</v>
      </c>
      <c r="B448" s="23" t="s">
        <v>104</v>
      </c>
    </row>
    <row r="449" spans="1:2" ht="16.5" x14ac:dyDescent="0.2">
      <c r="A449" s="6" t="str">
        <f t="shared" si="7"/>
        <v>0</v>
      </c>
      <c r="B449" s="23" t="s">
        <v>104</v>
      </c>
    </row>
    <row r="450" spans="1:2" ht="16.5" x14ac:dyDescent="0.2">
      <c r="A450" s="6" t="str">
        <f t="shared" si="7"/>
        <v>0</v>
      </c>
      <c r="B450" s="23" t="s">
        <v>104</v>
      </c>
    </row>
    <row r="451" spans="1:2" ht="16.5" x14ac:dyDescent="0.2">
      <c r="A451" s="6" t="str">
        <f t="shared" si="7"/>
        <v>0</v>
      </c>
      <c r="B451" s="23" t="s">
        <v>104</v>
      </c>
    </row>
    <row r="452" spans="1:2" ht="16.5" x14ac:dyDescent="0.2">
      <c r="A452" s="6" t="str">
        <f t="shared" si="7"/>
        <v>0</v>
      </c>
      <c r="B452" s="23" t="s">
        <v>104</v>
      </c>
    </row>
    <row r="453" spans="1:2" ht="16.5" x14ac:dyDescent="0.2">
      <c r="A453" s="6" t="str">
        <f t="shared" si="7"/>
        <v>0</v>
      </c>
      <c r="B453" s="23" t="s">
        <v>104</v>
      </c>
    </row>
    <row r="454" spans="1:2" ht="16.5" x14ac:dyDescent="0.2">
      <c r="A454" s="6" t="str">
        <f t="shared" si="7"/>
        <v>0</v>
      </c>
      <c r="B454" s="23" t="s">
        <v>104</v>
      </c>
    </row>
    <row r="455" spans="1:2" ht="16.5" x14ac:dyDescent="0.2">
      <c r="A455" s="6" t="str">
        <f t="shared" si="7"/>
        <v>0</v>
      </c>
      <c r="B455" s="23" t="s">
        <v>104</v>
      </c>
    </row>
    <row r="456" spans="1:2" ht="16.5" x14ac:dyDescent="0.2">
      <c r="A456" s="6" t="str">
        <f t="shared" si="7"/>
        <v>0</v>
      </c>
      <c r="B456" s="23" t="s">
        <v>104</v>
      </c>
    </row>
    <row r="457" spans="1:2" ht="16.5" x14ac:dyDescent="0.2">
      <c r="A457" s="6" t="str">
        <f t="shared" si="7"/>
        <v>0</v>
      </c>
      <c r="B457" s="23" t="s">
        <v>104</v>
      </c>
    </row>
    <row r="458" spans="1:2" ht="16.5" x14ac:dyDescent="0.2">
      <c r="A458" s="6" t="str">
        <f t="shared" si="7"/>
        <v>0</v>
      </c>
      <c r="B458" s="23" t="s">
        <v>104</v>
      </c>
    </row>
    <row r="459" spans="1:2" ht="16.5" x14ac:dyDescent="0.2">
      <c r="A459" s="6" t="str">
        <f t="shared" si="7"/>
        <v>0</v>
      </c>
      <c r="B459" s="23" t="s">
        <v>104</v>
      </c>
    </row>
    <row r="460" spans="1:2" ht="16.5" x14ac:dyDescent="0.2">
      <c r="A460" s="6" t="str">
        <f t="shared" si="7"/>
        <v>0</v>
      </c>
      <c r="B460" s="23" t="s">
        <v>104</v>
      </c>
    </row>
    <row r="461" spans="1:2" ht="16.5" x14ac:dyDescent="0.2">
      <c r="A461" s="6" t="str">
        <f t="shared" si="7"/>
        <v>0</v>
      </c>
      <c r="B461" s="23" t="s">
        <v>104</v>
      </c>
    </row>
    <row r="462" spans="1:2" ht="16.5" x14ac:dyDescent="0.2">
      <c r="A462" s="6" t="str">
        <f t="shared" si="7"/>
        <v>0</v>
      </c>
      <c r="B462" s="23" t="s">
        <v>104</v>
      </c>
    </row>
    <row r="463" spans="1:2" ht="16.5" x14ac:dyDescent="0.2">
      <c r="A463" s="6" t="str">
        <f t="shared" si="7"/>
        <v>0</v>
      </c>
      <c r="B463" s="23" t="s">
        <v>104</v>
      </c>
    </row>
    <row r="464" spans="1:2" ht="16.5" x14ac:dyDescent="0.2">
      <c r="A464" s="6" t="str">
        <f t="shared" si="7"/>
        <v>0</v>
      </c>
      <c r="B464" s="23" t="s">
        <v>104</v>
      </c>
    </row>
    <row r="465" spans="1:2" ht="16.5" x14ac:dyDescent="0.2">
      <c r="A465" s="6" t="str">
        <f t="shared" si="7"/>
        <v>0</v>
      </c>
      <c r="B465" s="23" t="s">
        <v>104</v>
      </c>
    </row>
    <row r="466" spans="1:2" ht="16.5" x14ac:dyDescent="0.2">
      <c r="A466" s="6" t="str">
        <f t="shared" si="7"/>
        <v>0</v>
      </c>
      <c r="B466" s="23" t="s">
        <v>104</v>
      </c>
    </row>
    <row r="467" spans="1:2" ht="16.5" x14ac:dyDescent="0.2">
      <c r="A467" s="6" t="str">
        <f t="shared" si="7"/>
        <v>0</v>
      </c>
      <c r="B467" s="23" t="s">
        <v>104</v>
      </c>
    </row>
    <row r="468" spans="1:2" ht="16.5" x14ac:dyDescent="0.2">
      <c r="A468" s="6" t="str">
        <f t="shared" si="7"/>
        <v>0</v>
      </c>
      <c r="B468" s="23" t="s">
        <v>104</v>
      </c>
    </row>
    <row r="469" spans="1:2" ht="16.5" x14ac:dyDescent="0.2">
      <c r="A469" s="6" t="str">
        <f t="shared" si="7"/>
        <v>0</v>
      </c>
      <c r="B469" s="23" t="s">
        <v>104</v>
      </c>
    </row>
    <row r="470" spans="1:2" ht="16.5" x14ac:dyDescent="0.2">
      <c r="A470" s="6" t="str">
        <f t="shared" si="7"/>
        <v>0</v>
      </c>
      <c r="B470" s="23" t="s">
        <v>104</v>
      </c>
    </row>
    <row r="471" spans="1:2" ht="16.5" x14ac:dyDescent="0.2">
      <c r="A471" s="6" t="str">
        <f t="shared" si="7"/>
        <v>0</v>
      </c>
      <c r="B471" s="23" t="s">
        <v>104</v>
      </c>
    </row>
    <row r="472" spans="1:2" ht="16.5" x14ac:dyDescent="0.2">
      <c r="A472" s="6" t="str">
        <f t="shared" si="7"/>
        <v>0</v>
      </c>
      <c r="B472" s="23" t="s">
        <v>104</v>
      </c>
    </row>
    <row r="473" spans="1:2" ht="16.5" x14ac:dyDescent="0.2">
      <c r="A473" s="6" t="str">
        <f t="shared" si="7"/>
        <v>0</v>
      </c>
      <c r="B473" s="23" t="s">
        <v>104</v>
      </c>
    </row>
    <row r="474" spans="1:2" ht="16.5" x14ac:dyDescent="0.2">
      <c r="A474" s="6" t="str">
        <f t="shared" si="7"/>
        <v>0</v>
      </c>
      <c r="B474" s="23" t="s">
        <v>104</v>
      </c>
    </row>
    <row r="475" spans="1:2" ht="16.5" x14ac:dyDescent="0.2">
      <c r="A475" s="6" t="str">
        <f t="shared" si="7"/>
        <v>0</v>
      </c>
      <c r="B475" s="23" t="s">
        <v>104</v>
      </c>
    </row>
    <row r="476" spans="1:2" ht="16.5" x14ac:dyDescent="0.2">
      <c r="A476" s="6" t="str">
        <f t="shared" si="7"/>
        <v>0</v>
      </c>
      <c r="B476" s="23" t="s">
        <v>104</v>
      </c>
    </row>
    <row r="477" spans="1:2" ht="16.5" x14ac:dyDescent="0.2">
      <c r="A477" s="6" t="str">
        <f t="shared" si="7"/>
        <v>0</v>
      </c>
      <c r="B477" s="23" t="s">
        <v>104</v>
      </c>
    </row>
    <row r="478" spans="1:2" ht="16.5" x14ac:dyDescent="0.2">
      <c r="A478" s="6" t="str">
        <f t="shared" si="7"/>
        <v>0</v>
      </c>
      <c r="B478" s="23" t="s">
        <v>104</v>
      </c>
    </row>
    <row r="479" spans="1:2" ht="16.5" x14ac:dyDescent="0.2">
      <c r="A479" s="6" t="str">
        <f t="shared" si="7"/>
        <v>0</v>
      </c>
      <c r="B479" s="23" t="s">
        <v>104</v>
      </c>
    </row>
    <row r="480" spans="1:2" ht="16.5" x14ac:dyDescent="0.2">
      <c r="A480" s="6" t="str">
        <f t="shared" si="7"/>
        <v>0</v>
      </c>
      <c r="B480" s="23" t="s">
        <v>104</v>
      </c>
    </row>
    <row r="481" spans="1:2" ht="16.5" x14ac:dyDescent="0.2">
      <c r="A481" s="6" t="str">
        <f t="shared" si="7"/>
        <v>0</v>
      </c>
      <c r="B481" s="23" t="s">
        <v>104</v>
      </c>
    </row>
    <row r="482" spans="1:2" ht="16.5" x14ac:dyDescent="0.2">
      <c r="A482" s="6" t="str">
        <f t="shared" si="7"/>
        <v>0</v>
      </c>
      <c r="B482" s="23" t="s">
        <v>104</v>
      </c>
    </row>
    <row r="483" spans="1:2" ht="16.5" x14ac:dyDescent="0.2">
      <c r="A483" s="6" t="str">
        <f t="shared" si="7"/>
        <v>0</v>
      </c>
      <c r="B483" s="23" t="s">
        <v>104</v>
      </c>
    </row>
    <row r="484" spans="1:2" ht="16.5" x14ac:dyDescent="0.2">
      <c r="A484" s="6" t="str">
        <f t="shared" si="7"/>
        <v>0</v>
      </c>
      <c r="B484" s="23" t="s">
        <v>104</v>
      </c>
    </row>
    <row r="485" spans="1:2" ht="16.5" x14ac:dyDescent="0.2">
      <c r="A485" s="6" t="str">
        <f t="shared" si="7"/>
        <v>0</v>
      </c>
      <c r="B485" s="23" t="s">
        <v>104</v>
      </c>
    </row>
    <row r="486" spans="1:2" ht="16.5" x14ac:dyDescent="0.2">
      <c r="A486" s="6" t="str">
        <f t="shared" si="7"/>
        <v>0</v>
      </c>
      <c r="B486" s="23" t="s">
        <v>104</v>
      </c>
    </row>
    <row r="487" spans="1:2" ht="16.5" x14ac:dyDescent="0.2">
      <c r="A487" s="6" t="str">
        <f t="shared" si="7"/>
        <v>0</v>
      </c>
      <c r="B487" s="23" t="s">
        <v>104</v>
      </c>
    </row>
    <row r="488" spans="1:2" ht="16.5" x14ac:dyDescent="0.2">
      <c r="A488" s="6" t="str">
        <f t="shared" si="7"/>
        <v>0</v>
      </c>
      <c r="B488" s="23" t="s">
        <v>104</v>
      </c>
    </row>
    <row r="489" spans="1:2" ht="16.5" x14ac:dyDescent="0.2">
      <c r="A489" s="6" t="str">
        <f t="shared" si="7"/>
        <v>0</v>
      </c>
      <c r="B489" s="23" t="s">
        <v>104</v>
      </c>
    </row>
    <row r="490" spans="1:2" ht="16.5" x14ac:dyDescent="0.2">
      <c r="A490" s="6" t="str">
        <f t="shared" si="7"/>
        <v>0</v>
      </c>
      <c r="B490" s="23" t="s">
        <v>104</v>
      </c>
    </row>
    <row r="491" spans="1:2" ht="16.5" x14ac:dyDescent="0.2">
      <c r="A491" s="6" t="str">
        <f t="shared" si="7"/>
        <v>0</v>
      </c>
      <c r="B491" s="23" t="s">
        <v>104</v>
      </c>
    </row>
    <row r="492" spans="1:2" ht="16.5" x14ac:dyDescent="0.2">
      <c r="A492" s="6" t="str">
        <f t="shared" si="7"/>
        <v>0</v>
      </c>
      <c r="B492" s="23" t="s">
        <v>104</v>
      </c>
    </row>
    <row r="493" spans="1:2" ht="16.5" x14ac:dyDescent="0.2">
      <c r="A493" s="6" t="str">
        <f t="shared" si="7"/>
        <v>0</v>
      </c>
      <c r="B493" s="23" t="s">
        <v>104</v>
      </c>
    </row>
    <row r="494" spans="1:2" ht="16.5" x14ac:dyDescent="0.2">
      <c r="A494" s="6" t="str">
        <f t="shared" si="7"/>
        <v>0</v>
      </c>
      <c r="B494" s="23" t="s">
        <v>104</v>
      </c>
    </row>
    <row r="495" spans="1:2" ht="16.5" x14ac:dyDescent="0.2">
      <c r="A495" s="6" t="str">
        <f t="shared" si="7"/>
        <v>0</v>
      </c>
      <c r="B495" s="23" t="s">
        <v>104</v>
      </c>
    </row>
    <row r="496" spans="1:2" ht="16.5" x14ac:dyDescent="0.2">
      <c r="A496" s="6" t="str">
        <f t="shared" si="7"/>
        <v>0</v>
      </c>
      <c r="B496" s="23" t="s">
        <v>104</v>
      </c>
    </row>
    <row r="497" spans="1:2" ht="16.5" x14ac:dyDescent="0.2">
      <c r="A497" s="6" t="str">
        <f t="shared" si="7"/>
        <v>0</v>
      </c>
      <c r="B497" s="23" t="s">
        <v>104</v>
      </c>
    </row>
    <row r="498" spans="1:2" ht="16.5" x14ac:dyDescent="0.2">
      <c r="A498" s="6" t="str">
        <f t="shared" si="7"/>
        <v>0</v>
      </c>
      <c r="B498" s="23" t="s">
        <v>104</v>
      </c>
    </row>
    <row r="499" spans="1:2" ht="16.5" x14ac:dyDescent="0.2">
      <c r="A499" s="6" t="str">
        <f t="shared" si="7"/>
        <v>0</v>
      </c>
      <c r="B499" s="23" t="s">
        <v>104</v>
      </c>
    </row>
    <row r="500" spans="1:2" ht="16.5" x14ac:dyDescent="0.2">
      <c r="A500" s="6" t="str">
        <f t="shared" si="7"/>
        <v>0</v>
      </c>
      <c r="B500" s="23" t="s">
        <v>104</v>
      </c>
    </row>
    <row r="501" spans="1:2" ht="16.5" x14ac:dyDescent="0.2">
      <c r="A501" s="6" t="str">
        <f t="shared" si="7"/>
        <v>0</v>
      </c>
      <c r="B501" s="23" t="s">
        <v>104</v>
      </c>
    </row>
    <row r="502" spans="1:2" ht="16.5" x14ac:dyDescent="0.2">
      <c r="A502" s="6" t="str">
        <f t="shared" si="7"/>
        <v>0</v>
      </c>
      <c r="B502" s="23" t="s">
        <v>104</v>
      </c>
    </row>
    <row r="503" spans="1:2" ht="16.5" x14ac:dyDescent="0.2">
      <c r="A503" s="6" t="str">
        <f t="shared" si="7"/>
        <v>0</v>
      </c>
      <c r="B503" s="23" t="s">
        <v>104</v>
      </c>
    </row>
    <row r="504" spans="1:2" ht="16.5" x14ac:dyDescent="0.2">
      <c r="A504" s="6" t="str">
        <f t="shared" si="7"/>
        <v>0</v>
      </c>
      <c r="B504" s="23" t="s">
        <v>104</v>
      </c>
    </row>
    <row r="505" spans="1:2" ht="16.5" x14ac:dyDescent="0.2">
      <c r="A505" s="6" t="str">
        <f t="shared" si="7"/>
        <v>0</v>
      </c>
      <c r="B505" s="23" t="s">
        <v>104</v>
      </c>
    </row>
    <row r="506" spans="1:2" ht="16.5" x14ac:dyDescent="0.2">
      <c r="A506" s="6" t="str">
        <f t="shared" si="7"/>
        <v>0</v>
      </c>
      <c r="B506" s="23" t="s">
        <v>104</v>
      </c>
    </row>
    <row r="507" spans="1:2" ht="16.5" x14ac:dyDescent="0.2">
      <c r="A507" s="6" t="str">
        <f t="shared" si="7"/>
        <v>0</v>
      </c>
      <c r="B507" s="23" t="s">
        <v>104</v>
      </c>
    </row>
    <row r="508" spans="1:2" ht="16.5" x14ac:dyDescent="0.2">
      <c r="A508" s="6" t="str">
        <f t="shared" ref="A508:A571" si="8">LEN(G508)&amp;LEFT(G508,1)</f>
        <v>0</v>
      </c>
      <c r="B508" s="23" t="s">
        <v>104</v>
      </c>
    </row>
    <row r="509" spans="1:2" ht="16.5" x14ac:dyDescent="0.2">
      <c r="A509" s="6" t="str">
        <f t="shared" si="8"/>
        <v>0</v>
      </c>
      <c r="B509" s="23" t="s">
        <v>104</v>
      </c>
    </row>
    <row r="510" spans="1:2" ht="16.5" x14ac:dyDescent="0.2">
      <c r="A510" s="6" t="str">
        <f t="shared" si="8"/>
        <v>0</v>
      </c>
      <c r="B510" s="23" t="s">
        <v>104</v>
      </c>
    </row>
    <row r="511" spans="1:2" ht="16.5" x14ac:dyDescent="0.2">
      <c r="A511" s="6" t="str">
        <f t="shared" si="8"/>
        <v>0</v>
      </c>
      <c r="B511" s="23" t="s">
        <v>104</v>
      </c>
    </row>
    <row r="512" spans="1:2" ht="16.5" x14ac:dyDescent="0.2">
      <c r="A512" s="6" t="str">
        <f t="shared" si="8"/>
        <v>0</v>
      </c>
      <c r="B512" s="23" t="s">
        <v>104</v>
      </c>
    </row>
    <row r="513" spans="1:2" ht="16.5" x14ac:dyDescent="0.2">
      <c r="A513" s="6" t="str">
        <f t="shared" si="8"/>
        <v>0</v>
      </c>
      <c r="B513" s="23" t="s">
        <v>104</v>
      </c>
    </row>
    <row r="514" spans="1:2" ht="16.5" x14ac:dyDescent="0.2">
      <c r="A514" s="6" t="str">
        <f t="shared" si="8"/>
        <v>0</v>
      </c>
      <c r="B514" s="23" t="s">
        <v>104</v>
      </c>
    </row>
    <row r="515" spans="1:2" ht="16.5" x14ac:dyDescent="0.2">
      <c r="A515" s="6" t="str">
        <f t="shared" si="8"/>
        <v>0</v>
      </c>
      <c r="B515" s="23" t="s">
        <v>104</v>
      </c>
    </row>
    <row r="516" spans="1:2" ht="16.5" x14ac:dyDescent="0.2">
      <c r="A516" s="6" t="str">
        <f t="shared" si="8"/>
        <v>0</v>
      </c>
      <c r="B516" s="23" t="s">
        <v>104</v>
      </c>
    </row>
    <row r="517" spans="1:2" ht="16.5" x14ac:dyDescent="0.2">
      <c r="A517" s="6" t="str">
        <f t="shared" si="8"/>
        <v>0</v>
      </c>
      <c r="B517" s="23" t="s">
        <v>104</v>
      </c>
    </row>
    <row r="518" spans="1:2" ht="16.5" x14ac:dyDescent="0.2">
      <c r="A518" s="6" t="str">
        <f t="shared" si="8"/>
        <v>0</v>
      </c>
      <c r="B518" s="23" t="s">
        <v>104</v>
      </c>
    </row>
    <row r="519" spans="1:2" ht="16.5" x14ac:dyDescent="0.2">
      <c r="A519" s="6" t="str">
        <f t="shared" si="8"/>
        <v>0</v>
      </c>
      <c r="B519" s="23" t="s">
        <v>104</v>
      </c>
    </row>
    <row r="520" spans="1:2" ht="16.5" x14ac:dyDescent="0.2">
      <c r="A520" s="6" t="str">
        <f t="shared" si="8"/>
        <v>0</v>
      </c>
      <c r="B520" s="23" t="s">
        <v>104</v>
      </c>
    </row>
    <row r="521" spans="1:2" ht="16.5" x14ac:dyDescent="0.2">
      <c r="A521" s="6" t="str">
        <f t="shared" si="8"/>
        <v>0</v>
      </c>
      <c r="B521" s="23" t="s">
        <v>104</v>
      </c>
    </row>
    <row r="522" spans="1:2" ht="16.5" x14ac:dyDescent="0.2">
      <c r="A522" s="6" t="str">
        <f t="shared" si="8"/>
        <v>0</v>
      </c>
      <c r="B522" s="23" t="s">
        <v>104</v>
      </c>
    </row>
    <row r="523" spans="1:2" ht="16.5" x14ac:dyDescent="0.2">
      <c r="A523" s="6" t="str">
        <f t="shared" si="8"/>
        <v>0</v>
      </c>
      <c r="B523" s="23" t="s">
        <v>104</v>
      </c>
    </row>
    <row r="524" spans="1:2" ht="16.5" x14ac:dyDescent="0.2">
      <c r="A524" s="6" t="str">
        <f t="shared" si="8"/>
        <v>0</v>
      </c>
      <c r="B524" s="23" t="s">
        <v>104</v>
      </c>
    </row>
    <row r="525" spans="1:2" ht="16.5" x14ac:dyDescent="0.2">
      <c r="A525" s="6" t="str">
        <f t="shared" si="8"/>
        <v>0</v>
      </c>
      <c r="B525" s="23" t="s">
        <v>104</v>
      </c>
    </row>
    <row r="526" spans="1:2" ht="16.5" x14ac:dyDescent="0.2">
      <c r="A526" s="6" t="str">
        <f t="shared" si="8"/>
        <v>0</v>
      </c>
      <c r="B526" s="23" t="s">
        <v>104</v>
      </c>
    </row>
    <row r="527" spans="1:2" ht="16.5" x14ac:dyDescent="0.2">
      <c r="A527" s="6" t="str">
        <f t="shared" si="8"/>
        <v>0</v>
      </c>
      <c r="B527" s="23" t="s">
        <v>104</v>
      </c>
    </row>
    <row r="528" spans="1:2" ht="16.5" x14ac:dyDescent="0.2">
      <c r="A528" s="6" t="str">
        <f t="shared" si="8"/>
        <v>0</v>
      </c>
      <c r="B528" s="23" t="s">
        <v>104</v>
      </c>
    </row>
    <row r="529" spans="1:2" ht="16.5" x14ac:dyDescent="0.2">
      <c r="A529" s="6" t="str">
        <f t="shared" si="8"/>
        <v>0</v>
      </c>
      <c r="B529" s="23" t="s">
        <v>104</v>
      </c>
    </row>
    <row r="530" spans="1:2" ht="16.5" x14ac:dyDescent="0.2">
      <c r="A530" s="6" t="str">
        <f t="shared" si="8"/>
        <v>0</v>
      </c>
      <c r="B530" s="23" t="s">
        <v>104</v>
      </c>
    </row>
    <row r="531" spans="1:2" ht="16.5" x14ac:dyDescent="0.2">
      <c r="A531" s="6" t="str">
        <f t="shared" si="8"/>
        <v>0</v>
      </c>
      <c r="B531" s="23" t="s">
        <v>104</v>
      </c>
    </row>
    <row r="532" spans="1:2" ht="16.5" x14ac:dyDescent="0.2">
      <c r="A532" s="6" t="str">
        <f t="shared" si="8"/>
        <v>0</v>
      </c>
      <c r="B532" s="23" t="s">
        <v>104</v>
      </c>
    </row>
    <row r="533" spans="1:2" ht="16.5" x14ac:dyDescent="0.2">
      <c r="A533" s="6" t="str">
        <f t="shared" si="8"/>
        <v>0</v>
      </c>
      <c r="B533" s="23" t="s">
        <v>104</v>
      </c>
    </row>
    <row r="534" spans="1:2" ht="16.5" x14ac:dyDescent="0.2">
      <c r="A534" s="6" t="str">
        <f t="shared" si="8"/>
        <v>0</v>
      </c>
      <c r="B534" s="23" t="s">
        <v>104</v>
      </c>
    </row>
    <row r="535" spans="1:2" ht="16.5" x14ac:dyDescent="0.2">
      <c r="A535" s="6" t="str">
        <f t="shared" si="8"/>
        <v>0</v>
      </c>
      <c r="B535" s="23" t="s">
        <v>104</v>
      </c>
    </row>
    <row r="536" spans="1:2" ht="16.5" x14ac:dyDescent="0.2">
      <c r="A536" s="6" t="str">
        <f t="shared" si="8"/>
        <v>0</v>
      </c>
      <c r="B536" s="23" t="s">
        <v>104</v>
      </c>
    </row>
    <row r="537" spans="1:2" ht="16.5" x14ac:dyDescent="0.2">
      <c r="A537" s="6" t="str">
        <f t="shared" si="8"/>
        <v>0</v>
      </c>
      <c r="B537" s="23" t="s">
        <v>104</v>
      </c>
    </row>
    <row r="538" spans="1:2" ht="16.5" x14ac:dyDescent="0.2">
      <c r="A538" s="6" t="str">
        <f t="shared" si="8"/>
        <v>0</v>
      </c>
      <c r="B538" s="23" t="s">
        <v>104</v>
      </c>
    </row>
    <row r="539" spans="1:2" ht="16.5" x14ac:dyDescent="0.2">
      <c r="A539" s="6" t="str">
        <f t="shared" si="8"/>
        <v>0</v>
      </c>
      <c r="B539" s="23" t="s">
        <v>104</v>
      </c>
    </row>
    <row r="540" spans="1:2" ht="16.5" x14ac:dyDescent="0.2">
      <c r="A540" s="6" t="str">
        <f t="shared" si="8"/>
        <v>0</v>
      </c>
      <c r="B540" s="23" t="s">
        <v>104</v>
      </c>
    </row>
    <row r="541" spans="1:2" ht="16.5" x14ac:dyDescent="0.2">
      <c r="A541" s="6" t="str">
        <f t="shared" si="8"/>
        <v>0</v>
      </c>
      <c r="B541" s="23" t="s">
        <v>104</v>
      </c>
    </row>
    <row r="542" spans="1:2" ht="16.5" x14ac:dyDescent="0.2">
      <c r="A542" s="6" t="str">
        <f t="shared" si="8"/>
        <v>0</v>
      </c>
      <c r="B542" s="23" t="s">
        <v>104</v>
      </c>
    </row>
    <row r="543" spans="1:2" ht="16.5" x14ac:dyDescent="0.2">
      <c r="A543" s="6" t="str">
        <f t="shared" si="8"/>
        <v>0</v>
      </c>
      <c r="B543" s="23" t="s">
        <v>104</v>
      </c>
    </row>
    <row r="544" spans="1:2" ht="16.5" x14ac:dyDescent="0.2">
      <c r="A544" s="6" t="str">
        <f t="shared" si="8"/>
        <v>0</v>
      </c>
      <c r="B544" s="23" t="s">
        <v>104</v>
      </c>
    </row>
    <row r="545" spans="1:2" ht="16.5" x14ac:dyDescent="0.2">
      <c r="A545" s="6" t="str">
        <f t="shared" si="8"/>
        <v>0</v>
      </c>
      <c r="B545" s="23" t="s">
        <v>104</v>
      </c>
    </row>
    <row r="546" spans="1:2" ht="16.5" x14ac:dyDescent="0.2">
      <c r="A546" s="6" t="str">
        <f t="shared" si="8"/>
        <v>0</v>
      </c>
      <c r="B546" s="23" t="s">
        <v>104</v>
      </c>
    </row>
    <row r="547" spans="1:2" ht="16.5" x14ac:dyDescent="0.2">
      <c r="A547" s="6" t="str">
        <f t="shared" si="8"/>
        <v>0</v>
      </c>
      <c r="B547" s="23" t="s">
        <v>104</v>
      </c>
    </row>
    <row r="548" spans="1:2" ht="16.5" x14ac:dyDescent="0.2">
      <c r="A548" s="6" t="str">
        <f t="shared" si="8"/>
        <v>0</v>
      </c>
      <c r="B548" s="23" t="s">
        <v>104</v>
      </c>
    </row>
    <row r="549" spans="1:2" ht="16.5" x14ac:dyDescent="0.2">
      <c r="A549" s="6" t="str">
        <f t="shared" si="8"/>
        <v>0</v>
      </c>
      <c r="B549" s="23" t="s">
        <v>104</v>
      </c>
    </row>
    <row r="550" spans="1:2" ht="16.5" x14ac:dyDescent="0.2">
      <c r="A550" s="6" t="str">
        <f t="shared" si="8"/>
        <v>0</v>
      </c>
      <c r="B550" s="23" t="s">
        <v>104</v>
      </c>
    </row>
    <row r="551" spans="1:2" ht="16.5" x14ac:dyDescent="0.2">
      <c r="A551" s="6" t="str">
        <f t="shared" si="8"/>
        <v>0</v>
      </c>
      <c r="B551" s="23" t="s">
        <v>104</v>
      </c>
    </row>
    <row r="552" spans="1:2" ht="16.5" x14ac:dyDescent="0.2">
      <c r="A552" s="6" t="str">
        <f t="shared" si="8"/>
        <v>0</v>
      </c>
      <c r="B552" s="23" t="s">
        <v>104</v>
      </c>
    </row>
    <row r="553" spans="1:2" ht="16.5" x14ac:dyDescent="0.2">
      <c r="A553" s="6" t="str">
        <f t="shared" si="8"/>
        <v>0</v>
      </c>
      <c r="B553" s="23" t="s">
        <v>104</v>
      </c>
    </row>
    <row r="554" spans="1:2" ht="16.5" x14ac:dyDescent="0.2">
      <c r="A554" s="6" t="str">
        <f t="shared" si="8"/>
        <v>0</v>
      </c>
      <c r="B554" s="23" t="s">
        <v>104</v>
      </c>
    </row>
    <row r="555" spans="1:2" ht="16.5" x14ac:dyDescent="0.2">
      <c r="A555" s="6" t="str">
        <f t="shared" si="8"/>
        <v>0</v>
      </c>
      <c r="B555" s="23" t="s">
        <v>104</v>
      </c>
    </row>
    <row r="556" spans="1:2" ht="16.5" x14ac:dyDescent="0.2">
      <c r="A556" s="6" t="str">
        <f t="shared" si="8"/>
        <v>0</v>
      </c>
      <c r="B556" s="23" t="s">
        <v>104</v>
      </c>
    </row>
    <row r="557" spans="1:2" ht="16.5" x14ac:dyDescent="0.2">
      <c r="A557" s="6" t="str">
        <f t="shared" si="8"/>
        <v>0</v>
      </c>
      <c r="B557" s="23" t="s">
        <v>104</v>
      </c>
    </row>
    <row r="558" spans="1:2" ht="16.5" x14ac:dyDescent="0.2">
      <c r="A558" s="6" t="str">
        <f t="shared" si="8"/>
        <v>0</v>
      </c>
      <c r="B558" s="23" t="s">
        <v>104</v>
      </c>
    </row>
    <row r="559" spans="1:2" ht="16.5" x14ac:dyDescent="0.2">
      <c r="A559" s="6" t="str">
        <f t="shared" si="8"/>
        <v>0</v>
      </c>
      <c r="B559" s="23" t="s">
        <v>104</v>
      </c>
    </row>
    <row r="560" spans="1:2" ht="16.5" x14ac:dyDescent="0.2">
      <c r="A560" s="6" t="str">
        <f t="shared" si="8"/>
        <v>0</v>
      </c>
      <c r="B560" s="23" t="s">
        <v>104</v>
      </c>
    </row>
    <row r="561" spans="1:2" ht="16.5" x14ac:dyDescent="0.2">
      <c r="A561" s="6" t="str">
        <f t="shared" si="8"/>
        <v>0</v>
      </c>
      <c r="B561" s="23" t="s">
        <v>104</v>
      </c>
    </row>
    <row r="562" spans="1:2" ht="16.5" x14ac:dyDescent="0.2">
      <c r="A562" s="6" t="str">
        <f t="shared" si="8"/>
        <v>0</v>
      </c>
      <c r="B562" s="23" t="s">
        <v>104</v>
      </c>
    </row>
    <row r="563" spans="1:2" ht="16.5" x14ac:dyDescent="0.2">
      <c r="A563" s="6" t="str">
        <f t="shared" si="8"/>
        <v>0</v>
      </c>
      <c r="B563" s="23" t="s">
        <v>104</v>
      </c>
    </row>
    <row r="564" spans="1:2" ht="16.5" x14ac:dyDescent="0.2">
      <c r="A564" s="6" t="str">
        <f t="shared" si="8"/>
        <v>0</v>
      </c>
      <c r="B564" s="23" t="s">
        <v>104</v>
      </c>
    </row>
    <row r="565" spans="1:2" ht="16.5" x14ac:dyDescent="0.2">
      <c r="A565" s="6" t="str">
        <f t="shared" si="8"/>
        <v>0</v>
      </c>
      <c r="B565" s="23" t="s">
        <v>104</v>
      </c>
    </row>
    <row r="566" spans="1:2" ht="16.5" x14ac:dyDescent="0.2">
      <c r="A566" s="6" t="str">
        <f t="shared" si="8"/>
        <v>0</v>
      </c>
      <c r="B566" s="23" t="s">
        <v>104</v>
      </c>
    </row>
    <row r="567" spans="1:2" ht="16.5" x14ac:dyDescent="0.2">
      <c r="A567" s="6" t="str">
        <f t="shared" si="8"/>
        <v>0</v>
      </c>
      <c r="B567" s="23" t="s">
        <v>104</v>
      </c>
    </row>
    <row r="568" spans="1:2" ht="16.5" x14ac:dyDescent="0.2">
      <c r="A568" s="6" t="str">
        <f t="shared" si="8"/>
        <v>0</v>
      </c>
      <c r="B568" s="23" t="s">
        <v>104</v>
      </c>
    </row>
    <row r="569" spans="1:2" ht="16.5" x14ac:dyDescent="0.2">
      <c r="A569" s="6" t="str">
        <f t="shared" si="8"/>
        <v>0</v>
      </c>
      <c r="B569" s="23" t="s">
        <v>104</v>
      </c>
    </row>
    <row r="570" spans="1:2" ht="16.5" x14ac:dyDescent="0.2">
      <c r="A570" s="6" t="str">
        <f t="shared" si="8"/>
        <v>0</v>
      </c>
      <c r="B570" s="23" t="s">
        <v>104</v>
      </c>
    </row>
    <row r="571" spans="1:2" ht="16.5" x14ac:dyDescent="0.2">
      <c r="A571" s="6" t="str">
        <f t="shared" si="8"/>
        <v>0</v>
      </c>
      <c r="B571" s="23" t="s">
        <v>104</v>
      </c>
    </row>
    <row r="572" spans="1:2" ht="16.5" x14ac:dyDescent="0.2">
      <c r="A572" s="6" t="str">
        <f t="shared" ref="A572:A635" si="9">LEN(G572)&amp;LEFT(G572,1)</f>
        <v>0</v>
      </c>
      <c r="B572" s="23" t="s">
        <v>104</v>
      </c>
    </row>
    <row r="573" spans="1:2" ht="16.5" x14ac:dyDescent="0.2">
      <c r="A573" s="6" t="str">
        <f t="shared" si="9"/>
        <v>0</v>
      </c>
      <c r="B573" s="23" t="s">
        <v>104</v>
      </c>
    </row>
    <row r="574" spans="1:2" ht="16.5" x14ac:dyDescent="0.2">
      <c r="A574" s="6" t="str">
        <f t="shared" si="9"/>
        <v>0</v>
      </c>
      <c r="B574" s="23" t="s">
        <v>104</v>
      </c>
    </row>
    <row r="575" spans="1:2" ht="16.5" x14ac:dyDescent="0.2">
      <c r="A575" s="6" t="str">
        <f t="shared" si="9"/>
        <v>0</v>
      </c>
      <c r="B575" s="23" t="s">
        <v>104</v>
      </c>
    </row>
    <row r="576" spans="1:2" ht="16.5" x14ac:dyDescent="0.2">
      <c r="A576" s="6" t="str">
        <f t="shared" si="9"/>
        <v>0</v>
      </c>
      <c r="B576" s="23" t="s">
        <v>104</v>
      </c>
    </row>
    <row r="577" spans="1:2" ht="16.5" x14ac:dyDescent="0.2">
      <c r="A577" s="6" t="str">
        <f t="shared" si="9"/>
        <v>0</v>
      </c>
      <c r="B577" s="23" t="s">
        <v>104</v>
      </c>
    </row>
    <row r="578" spans="1:2" ht="16.5" x14ac:dyDescent="0.2">
      <c r="A578" s="6" t="str">
        <f t="shared" si="9"/>
        <v>0</v>
      </c>
      <c r="B578" s="23" t="s">
        <v>104</v>
      </c>
    </row>
    <row r="579" spans="1:2" ht="16.5" x14ac:dyDescent="0.2">
      <c r="A579" s="6" t="str">
        <f t="shared" si="9"/>
        <v>0</v>
      </c>
      <c r="B579" s="23" t="s">
        <v>104</v>
      </c>
    </row>
    <row r="580" spans="1:2" ht="16.5" x14ac:dyDescent="0.2">
      <c r="A580" s="6" t="str">
        <f t="shared" si="9"/>
        <v>0</v>
      </c>
      <c r="B580" s="23" t="s">
        <v>104</v>
      </c>
    </row>
    <row r="581" spans="1:2" ht="16.5" x14ac:dyDescent="0.2">
      <c r="A581" s="6" t="str">
        <f t="shared" si="9"/>
        <v>0</v>
      </c>
      <c r="B581" s="23" t="s">
        <v>104</v>
      </c>
    </row>
    <row r="582" spans="1:2" ht="16.5" x14ac:dyDescent="0.2">
      <c r="A582" s="6" t="str">
        <f t="shared" si="9"/>
        <v>0</v>
      </c>
      <c r="B582" s="23" t="s">
        <v>104</v>
      </c>
    </row>
    <row r="583" spans="1:2" ht="16.5" x14ac:dyDescent="0.2">
      <c r="A583" s="6" t="str">
        <f t="shared" si="9"/>
        <v>0</v>
      </c>
      <c r="B583" s="23" t="s">
        <v>104</v>
      </c>
    </row>
    <row r="584" spans="1:2" ht="16.5" x14ac:dyDescent="0.2">
      <c r="A584" s="6" t="str">
        <f t="shared" si="9"/>
        <v>0</v>
      </c>
      <c r="B584" s="23" t="s">
        <v>104</v>
      </c>
    </row>
    <row r="585" spans="1:2" ht="16.5" x14ac:dyDescent="0.2">
      <c r="A585" s="6" t="str">
        <f t="shared" si="9"/>
        <v>0</v>
      </c>
      <c r="B585" s="23" t="s">
        <v>104</v>
      </c>
    </row>
    <row r="586" spans="1:2" ht="16.5" x14ac:dyDescent="0.2">
      <c r="A586" s="6" t="str">
        <f t="shared" si="9"/>
        <v>0</v>
      </c>
      <c r="B586" s="23" t="s">
        <v>104</v>
      </c>
    </row>
    <row r="587" spans="1:2" ht="16.5" x14ac:dyDescent="0.2">
      <c r="A587" s="6" t="str">
        <f t="shared" si="9"/>
        <v>0</v>
      </c>
      <c r="B587" s="23" t="s">
        <v>104</v>
      </c>
    </row>
    <row r="588" spans="1:2" ht="16.5" x14ac:dyDescent="0.2">
      <c r="A588" s="6" t="str">
        <f t="shared" si="9"/>
        <v>0</v>
      </c>
      <c r="B588" s="23" t="s">
        <v>104</v>
      </c>
    </row>
    <row r="589" spans="1:2" ht="16.5" x14ac:dyDescent="0.2">
      <c r="A589" s="6" t="str">
        <f t="shared" si="9"/>
        <v>0</v>
      </c>
      <c r="B589" s="23" t="s">
        <v>104</v>
      </c>
    </row>
    <row r="590" spans="1:2" ht="16.5" x14ac:dyDescent="0.2">
      <c r="A590" s="6" t="str">
        <f t="shared" si="9"/>
        <v>0</v>
      </c>
      <c r="B590" s="23" t="s">
        <v>104</v>
      </c>
    </row>
    <row r="591" spans="1:2" ht="16.5" x14ac:dyDescent="0.2">
      <c r="A591" s="6" t="str">
        <f t="shared" si="9"/>
        <v>0</v>
      </c>
      <c r="B591" s="23" t="s">
        <v>104</v>
      </c>
    </row>
    <row r="592" spans="1:2" ht="16.5" x14ac:dyDescent="0.2">
      <c r="A592" s="6" t="str">
        <f t="shared" si="9"/>
        <v>0</v>
      </c>
      <c r="B592" s="23" t="s">
        <v>104</v>
      </c>
    </row>
    <row r="593" spans="1:2" ht="16.5" x14ac:dyDescent="0.2">
      <c r="A593" s="6" t="str">
        <f t="shared" si="9"/>
        <v>0</v>
      </c>
      <c r="B593" s="23" t="s">
        <v>104</v>
      </c>
    </row>
    <row r="594" spans="1:2" ht="16.5" x14ac:dyDescent="0.2">
      <c r="A594" s="6" t="str">
        <f t="shared" si="9"/>
        <v>0</v>
      </c>
      <c r="B594" s="23" t="s">
        <v>104</v>
      </c>
    </row>
    <row r="595" spans="1:2" ht="16.5" x14ac:dyDescent="0.2">
      <c r="A595" s="6" t="str">
        <f t="shared" si="9"/>
        <v>0</v>
      </c>
      <c r="B595" s="23" t="s">
        <v>104</v>
      </c>
    </row>
    <row r="596" spans="1:2" ht="16.5" x14ac:dyDescent="0.2">
      <c r="A596" s="6" t="str">
        <f t="shared" si="9"/>
        <v>0</v>
      </c>
      <c r="B596" s="23" t="s">
        <v>104</v>
      </c>
    </row>
    <row r="597" spans="1:2" ht="16.5" x14ac:dyDescent="0.2">
      <c r="A597" s="6" t="str">
        <f t="shared" si="9"/>
        <v>0</v>
      </c>
      <c r="B597" s="23" t="s">
        <v>104</v>
      </c>
    </row>
    <row r="598" spans="1:2" ht="16.5" x14ac:dyDescent="0.2">
      <c r="A598" s="6" t="str">
        <f t="shared" si="9"/>
        <v>0</v>
      </c>
      <c r="B598" s="23" t="s">
        <v>104</v>
      </c>
    </row>
    <row r="599" spans="1:2" ht="16.5" x14ac:dyDescent="0.2">
      <c r="A599" s="6" t="str">
        <f t="shared" si="9"/>
        <v>0</v>
      </c>
      <c r="B599" s="23" t="s">
        <v>104</v>
      </c>
    </row>
    <row r="600" spans="1:2" ht="16.5" x14ac:dyDescent="0.2">
      <c r="A600" s="6" t="str">
        <f t="shared" si="9"/>
        <v>0</v>
      </c>
      <c r="B600" s="23" t="s">
        <v>104</v>
      </c>
    </row>
    <row r="601" spans="1:2" ht="16.5" x14ac:dyDescent="0.2">
      <c r="A601" s="6" t="str">
        <f t="shared" si="9"/>
        <v>0</v>
      </c>
      <c r="B601" s="23" t="s">
        <v>104</v>
      </c>
    </row>
    <row r="602" spans="1:2" ht="16.5" x14ac:dyDescent="0.2">
      <c r="A602" s="6" t="str">
        <f t="shared" si="9"/>
        <v>0</v>
      </c>
      <c r="B602" s="23" t="s">
        <v>104</v>
      </c>
    </row>
    <row r="603" spans="1:2" ht="16.5" x14ac:dyDescent="0.2">
      <c r="A603" s="6" t="str">
        <f t="shared" si="9"/>
        <v>0</v>
      </c>
      <c r="B603" s="23" t="s">
        <v>104</v>
      </c>
    </row>
    <row r="604" spans="1:2" ht="16.5" x14ac:dyDescent="0.2">
      <c r="A604" s="6" t="str">
        <f t="shared" si="9"/>
        <v>0</v>
      </c>
      <c r="B604" s="23" t="s">
        <v>104</v>
      </c>
    </row>
    <row r="605" spans="1:2" ht="16.5" x14ac:dyDescent="0.2">
      <c r="A605" s="6" t="str">
        <f t="shared" si="9"/>
        <v>0</v>
      </c>
      <c r="B605" s="23" t="s">
        <v>104</v>
      </c>
    </row>
    <row r="606" spans="1:2" ht="16.5" x14ac:dyDescent="0.2">
      <c r="A606" s="6" t="str">
        <f t="shared" si="9"/>
        <v>0</v>
      </c>
      <c r="B606" s="23" t="s">
        <v>104</v>
      </c>
    </row>
    <row r="607" spans="1:2" ht="16.5" x14ac:dyDescent="0.2">
      <c r="A607" s="6" t="str">
        <f t="shared" si="9"/>
        <v>0</v>
      </c>
      <c r="B607" s="23" t="s">
        <v>104</v>
      </c>
    </row>
    <row r="608" spans="1:2" ht="16.5" x14ac:dyDescent="0.2">
      <c r="A608" s="6" t="str">
        <f t="shared" si="9"/>
        <v>0</v>
      </c>
      <c r="B608" s="23" t="s">
        <v>104</v>
      </c>
    </row>
    <row r="609" spans="1:2" ht="16.5" x14ac:dyDescent="0.2">
      <c r="A609" s="6" t="str">
        <f t="shared" si="9"/>
        <v>0</v>
      </c>
      <c r="B609" s="23" t="s">
        <v>104</v>
      </c>
    </row>
    <row r="610" spans="1:2" ht="16.5" x14ac:dyDescent="0.2">
      <c r="A610" s="6" t="str">
        <f t="shared" si="9"/>
        <v>0</v>
      </c>
      <c r="B610" s="23" t="s">
        <v>104</v>
      </c>
    </row>
    <row r="611" spans="1:2" ht="16.5" x14ac:dyDescent="0.2">
      <c r="A611" s="6" t="str">
        <f t="shared" si="9"/>
        <v>0</v>
      </c>
      <c r="B611" s="23" t="s">
        <v>104</v>
      </c>
    </row>
    <row r="612" spans="1:2" ht="16.5" x14ac:dyDescent="0.2">
      <c r="A612" s="6" t="str">
        <f t="shared" si="9"/>
        <v>0</v>
      </c>
      <c r="B612" s="23" t="s">
        <v>104</v>
      </c>
    </row>
    <row r="613" spans="1:2" ht="16.5" x14ac:dyDescent="0.2">
      <c r="A613" s="6" t="str">
        <f t="shared" si="9"/>
        <v>0</v>
      </c>
      <c r="B613" s="23" t="s">
        <v>104</v>
      </c>
    </row>
    <row r="614" spans="1:2" ht="16.5" x14ac:dyDescent="0.2">
      <c r="A614" s="6" t="str">
        <f t="shared" si="9"/>
        <v>0</v>
      </c>
      <c r="B614" s="23" t="s">
        <v>104</v>
      </c>
    </row>
    <row r="615" spans="1:2" ht="16.5" x14ac:dyDescent="0.2">
      <c r="A615" s="6" t="str">
        <f t="shared" si="9"/>
        <v>0</v>
      </c>
      <c r="B615" s="23" t="s">
        <v>104</v>
      </c>
    </row>
    <row r="616" spans="1:2" ht="16.5" x14ac:dyDescent="0.2">
      <c r="A616" s="6" t="str">
        <f t="shared" si="9"/>
        <v>0</v>
      </c>
      <c r="B616" s="23" t="s">
        <v>104</v>
      </c>
    </row>
    <row r="617" spans="1:2" ht="16.5" x14ac:dyDescent="0.2">
      <c r="A617" s="6" t="str">
        <f t="shared" si="9"/>
        <v>0</v>
      </c>
      <c r="B617" s="23" t="s">
        <v>104</v>
      </c>
    </row>
    <row r="618" spans="1:2" ht="16.5" x14ac:dyDescent="0.2">
      <c r="A618" s="6" t="str">
        <f t="shared" si="9"/>
        <v>0</v>
      </c>
      <c r="B618" s="23" t="s">
        <v>104</v>
      </c>
    </row>
    <row r="619" spans="1:2" ht="16.5" x14ac:dyDescent="0.2">
      <c r="A619" s="6" t="str">
        <f t="shared" si="9"/>
        <v>0</v>
      </c>
      <c r="B619" s="23" t="s">
        <v>104</v>
      </c>
    </row>
    <row r="620" spans="1:2" ht="16.5" x14ac:dyDescent="0.2">
      <c r="A620" s="6" t="str">
        <f t="shared" si="9"/>
        <v>0</v>
      </c>
      <c r="B620" s="23" t="s">
        <v>104</v>
      </c>
    </row>
    <row r="621" spans="1:2" ht="16.5" x14ac:dyDescent="0.2">
      <c r="A621" s="6" t="str">
        <f t="shared" si="9"/>
        <v>0</v>
      </c>
      <c r="B621" s="23" t="s">
        <v>104</v>
      </c>
    </row>
    <row r="622" spans="1:2" ht="16.5" x14ac:dyDescent="0.2">
      <c r="A622" s="6" t="str">
        <f t="shared" si="9"/>
        <v>0</v>
      </c>
      <c r="B622" s="23" t="s">
        <v>104</v>
      </c>
    </row>
    <row r="623" spans="1:2" ht="16.5" x14ac:dyDescent="0.2">
      <c r="A623" s="6" t="str">
        <f t="shared" si="9"/>
        <v>0</v>
      </c>
      <c r="B623" s="23" t="s">
        <v>104</v>
      </c>
    </row>
    <row r="624" spans="1:2" ht="16.5" x14ac:dyDescent="0.2">
      <c r="A624" s="6" t="str">
        <f t="shared" si="9"/>
        <v>0</v>
      </c>
      <c r="B624" s="23" t="s">
        <v>104</v>
      </c>
    </row>
    <row r="625" spans="1:2" ht="16.5" x14ac:dyDescent="0.2">
      <c r="A625" s="6" t="str">
        <f t="shared" si="9"/>
        <v>0</v>
      </c>
      <c r="B625" s="23" t="s">
        <v>104</v>
      </c>
    </row>
    <row r="626" spans="1:2" ht="16.5" x14ac:dyDescent="0.2">
      <c r="A626" s="6" t="str">
        <f t="shared" si="9"/>
        <v>0</v>
      </c>
      <c r="B626" s="23" t="s">
        <v>104</v>
      </c>
    </row>
    <row r="627" spans="1:2" ht="16.5" x14ac:dyDescent="0.2">
      <c r="A627" s="6" t="str">
        <f t="shared" si="9"/>
        <v>0</v>
      </c>
      <c r="B627" s="23" t="s">
        <v>104</v>
      </c>
    </row>
    <row r="628" spans="1:2" ht="16.5" x14ac:dyDescent="0.2">
      <c r="A628" s="6" t="str">
        <f t="shared" si="9"/>
        <v>0</v>
      </c>
      <c r="B628" s="23" t="s">
        <v>104</v>
      </c>
    </row>
    <row r="629" spans="1:2" ht="16.5" x14ac:dyDescent="0.2">
      <c r="A629" s="6" t="str">
        <f t="shared" si="9"/>
        <v>0</v>
      </c>
      <c r="B629" s="23" t="s">
        <v>104</v>
      </c>
    </row>
    <row r="630" spans="1:2" ht="16.5" x14ac:dyDescent="0.2">
      <c r="A630" s="6" t="str">
        <f t="shared" si="9"/>
        <v>0</v>
      </c>
      <c r="B630" s="23" t="s">
        <v>104</v>
      </c>
    </row>
    <row r="631" spans="1:2" ht="16.5" x14ac:dyDescent="0.2">
      <c r="A631" s="6" t="str">
        <f t="shared" si="9"/>
        <v>0</v>
      </c>
      <c r="B631" s="23" t="s">
        <v>104</v>
      </c>
    </row>
    <row r="632" spans="1:2" ht="16.5" x14ac:dyDescent="0.2">
      <c r="A632" s="6" t="str">
        <f t="shared" si="9"/>
        <v>0</v>
      </c>
      <c r="B632" s="23" t="s">
        <v>104</v>
      </c>
    </row>
    <row r="633" spans="1:2" ht="16.5" x14ac:dyDescent="0.2">
      <c r="A633" s="6" t="str">
        <f t="shared" si="9"/>
        <v>0</v>
      </c>
      <c r="B633" s="23" t="s">
        <v>104</v>
      </c>
    </row>
    <row r="634" spans="1:2" ht="16.5" x14ac:dyDescent="0.2">
      <c r="A634" s="6" t="str">
        <f t="shared" si="9"/>
        <v>0</v>
      </c>
      <c r="B634" s="23" t="s">
        <v>104</v>
      </c>
    </row>
    <row r="635" spans="1:2" ht="16.5" x14ac:dyDescent="0.2">
      <c r="A635" s="6" t="str">
        <f t="shared" si="9"/>
        <v>0</v>
      </c>
      <c r="B635" s="23" t="s">
        <v>104</v>
      </c>
    </row>
    <row r="636" spans="1:2" ht="16.5" x14ac:dyDescent="0.2">
      <c r="A636" s="6" t="str">
        <f t="shared" ref="A636:A699" si="10">LEN(G636)&amp;LEFT(G636,1)</f>
        <v>0</v>
      </c>
      <c r="B636" s="23" t="s">
        <v>104</v>
      </c>
    </row>
    <row r="637" spans="1:2" ht="16.5" x14ac:dyDescent="0.2">
      <c r="A637" s="6" t="str">
        <f t="shared" si="10"/>
        <v>0</v>
      </c>
      <c r="B637" s="23" t="s">
        <v>104</v>
      </c>
    </row>
    <row r="638" spans="1:2" ht="16.5" x14ac:dyDescent="0.2">
      <c r="A638" s="6" t="str">
        <f t="shared" si="10"/>
        <v>0</v>
      </c>
      <c r="B638" s="23" t="s">
        <v>104</v>
      </c>
    </row>
    <row r="639" spans="1:2" ht="16.5" x14ac:dyDescent="0.2">
      <c r="A639" s="6" t="str">
        <f t="shared" si="10"/>
        <v>0</v>
      </c>
      <c r="B639" s="23" t="s">
        <v>104</v>
      </c>
    </row>
    <row r="640" spans="1:2" ht="16.5" x14ac:dyDescent="0.2">
      <c r="A640" s="6" t="str">
        <f t="shared" si="10"/>
        <v>0</v>
      </c>
      <c r="B640" s="23" t="s">
        <v>104</v>
      </c>
    </row>
    <row r="641" spans="1:2" ht="16.5" x14ac:dyDescent="0.2">
      <c r="A641" s="6" t="str">
        <f t="shared" si="10"/>
        <v>0</v>
      </c>
      <c r="B641" s="23" t="s">
        <v>104</v>
      </c>
    </row>
    <row r="642" spans="1:2" ht="16.5" x14ac:dyDescent="0.2">
      <c r="A642" s="6" t="str">
        <f t="shared" si="10"/>
        <v>0</v>
      </c>
      <c r="B642" s="23" t="s">
        <v>104</v>
      </c>
    </row>
    <row r="643" spans="1:2" ht="16.5" x14ac:dyDescent="0.2">
      <c r="A643" s="6" t="str">
        <f t="shared" si="10"/>
        <v>0</v>
      </c>
      <c r="B643" s="23" t="s">
        <v>104</v>
      </c>
    </row>
    <row r="644" spans="1:2" ht="16.5" x14ac:dyDescent="0.2">
      <c r="A644" s="6" t="str">
        <f t="shared" si="10"/>
        <v>0</v>
      </c>
      <c r="B644" s="23" t="s">
        <v>104</v>
      </c>
    </row>
    <row r="645" spans="1:2" ht="16.5" x14ac:dyDescent="0.2">
      <c r="A645" s="6" t="str">
        <f t="shared" si="10"/>
        <v>0</v>
      </c>
      <c r="B645" s="23" t="s">
        <v>104</v>
      </c>
    </row>
    <row r="646" spans="1:2" ht="16.5" x14ac:dyDescent="0.2">
      <c r="A646" s="6" t="str">
        <f t="shared" si="10"/>
        <v>0</v>
      </c>
      <c r="B646" s="23" t="s">
        <v>104</v>
      </c>
    </row>
    <row r="647" spans="1:2" ht="16.5" x14ac:dyDescent="0.2">
      <c r="A647" s="6" t="str">
        <f t="shared" si="10"/>
        <v>0</v>
      </c>
      <c r="B647" s="23" t="s">
        <v>104</v>
      </c>
    </row>
    <row r="648" spans="1:2" ht="16.5" x14ac:dyDescent="0.2">
      <c r="A648" s="6" t="str">
        <f t="shared" si="10"/>
        <v>0</v>
      </c>
      <c r="B648" s="23" t="s">
        <v>104</v>
      </c>
    </row>
    <row r="649" spans="1:2" ht="16.5" x14ac:dyDescent="0.2">
      <c r="A649" s="6" t="str">
        <f t="shared" si="10"/>
        <v>0</v>
      </c>
      <c r="B649" s="23" t="s">
        <v>104</v>
      </c>
    </row>
    <row r="650" spans="1:2" ht="16.5" x14ac:dyDescent="0.2">
      <c r="A650" s="6" t="str">
        <f t="shared" si="10"/>
        <v>0</v>
      </c>
      <c r="B650" s="23" t="s">
        <v>104</v>
      </c>
    </row>
    <row r="651" spans="1:2" ht="16.5" x14ac:dyDescent="0.2">
      <c r="A651" s="6" t="str">
        <f t="shared" si="10"/>
        <v>0</v>
      </c>
      <c r="B651" s="23" t="s">
        <v>104</v>
      </c>
    </row>
    <row r="652" spans="1:2" ht="16.5" x14ac:dyDescent="0.2">
      <c r="A652" s="6" t="str">
        <f t="shared" si="10"/>
        <v>0</v>
      </c>
      <c r="B652" s="23" t="s">
        <v>104</v>
      </c>
    </row>
    <row r="653" spans="1:2" ht="16.5" x14ac:dyDescent="0.2">
      <c r="A653" s="6" t="str">
        <f t="shared" si="10"/>
        <v>0</v>
      </c>
      <c r="B653" s="23" t="s">
        <v>104</v>
      </c>
    </row>
    <row r="654" spans="1:2" ht="16.5" x14ac:dyDescent="0.2">
      <c r="A654" s="6" t="str">
        <f t="shared" si="10"/>
        <v>0</v>
      </c>
      <c r="B654" s="23" t="s">
        <v>104</v>
      </c>
    </row>
    <row r="655" spans="1:2" ht="16.5" x14ac:dyDescent="0.2">
      <c r="A655" s="6" t="str">
        <f t="shared" si="10"/>
        <v>0</v>
      </c>
      <c r="B655" s="23" t="s">
        <v>104</v>
      </c>
    </row>
    <row r="656" spans="1:2" ht="16.5" x14ac:dyDescent="0.2">
      <c r="A656" s="6" t="str">
        <f t="shared" si="10"/>
        <v>0</v>
      </c>
      <c r="B656" s="23" t="s">
        <v>104</v>
      </c>
    </row>
    <row r="657" spans="1:2" ht="16.5" x14ac:dyDescent="0.2">
      <c r="A657" s="6" t="str">
        <f t="shared" si="10"/>
        <v>0</v>
      </c>
      <c r="B657" s="23" t="s">
        <v>104</v>
      </c>
    </row>
    <row r="658" spans="1:2" ht="16.5" x14ac:dyDescent="0.2">
      <c r="A658" s="6" t="str">
        <f t="shared" si="10"/>
        <v>0</v>
      </c>
      <c r="B658" s="23" t="s">
        <v>104</v>
      </c>
    </row>
    <row r="659" spans="1:2" ht="16.5" x14ac:dyDescent="0.2">
      <c r="A659" s="6" t="str">
        <f t="shared" si="10"/>
        <v>0</v>
      </c>
      <c r="B659" s="23" t="s">
        <v>104</v>
      </c>
    </row>
    <row r="660" spans="1:2" ht="16.5" x14ac:dyDescent="0.2">
      <c r="A660" s="6" t="str">
        <f t="shared" si="10"/>
        <v>0</v>
      </c>
      <c r="B660" s="23" t="s">
        <v>104</v>
      </c>
    </row>
    <row r="661" spans="1:2" ht="16.5" x14ac:dyDescent="0.2">
      <c r="A661" s="6" t="str">
        <f t="shared" si="10"/>
        <v>0</v>
      </c>
      <c r="B661" s="23" t="s">
        <v>104</v>
      </c>
    </row>
    <row r="662" spans="1:2" ht="16.5" x14ac:dyDescent="0.2">
      <c r="A662" s="6" t="str">
        <f t="shared" si="10"/>
        <v>0</v>
      </c>
      <c r="B662" s="23" t="s">
        <v>104</v>
      </c>
    </row>
    <row r="663" spans="1:2" ht="16.5" x14ac:dyDescent="0.2">
      <c r="A663" s="6" t="str">
        <f t="shared" si="10"/>
        <v>0</v>
      </c>
      <c r="B663" s="23" t="s">
        <v>104</v>
      </c>
    </row>
    <row r="664" spans="1:2" ht="16.5" x14ac:dyDescent="0.2">
      <c r="A664" s="6" t="str">
        <f t="shared" si="10"/>
        <v>0</v>
      </c>
      <c r="B664" s="23" t="s">
        <v>104</v>
      </c>
    </row>
    <row r="665" spans="1:2" ht="16.5" x14ac:dyDescent="0.2">
      <c r="A665" s="6" t="str">
        <f t="shared" si="10"/>
        <v>0</v>
      </c>
      <c r="B665" s="23" t="s">
        <v>104</v>
      </c>
    </row>
    <row r="666" spans="1:2" ht="16.5" x14ac:dyDescent="0.2">
      <c r="A666" s="6" t="str">
        <f t="shared" si="10"/>
        <v>0</v>
      </c>
      <c r="B666" s="23" t="s">
        <v>104</v>
      </c>
    </row>
    <row r="667" spans="1:2" ht="16.5" x14ac:dyDescent="0.2">
      <c r="A667" s="6" t="str">
        <f t="shared" si="10"/>
        <v>0</v>
      </c>
      <c r="B667" s="23" t="s">
        <v>104</v>
      </c>
    </row>
    <row r="668" spans="1:2" ht="16.5" x14ac:dyDescent="0.2">
      <c r="A668" s="6" t="str">
        <f t="shared" si="10"/>
        <v>0</v>
      </c>
      <c r="B668" s="23" t="s">
        <v>104</v>
      </c>
    </row>
    <row r="669" spans="1:2" ht="16.5" x14ac:dyDescent="0.2">
      <c r="A669" s="6" t="str">
        <f t="shared" si="10"/>
        <v>0</v>
      </c>
      <c r="B669" s="23" t="s">
        <v>104</v>
      </c>
    </row>
    <row r="670" spans="1:2" ht="16.5" x14ac:dyDescent="0.2">
      <c r="A670" s="6" t="str">
        <f t="shared" si="10"/>
        <v>0</v>
      </c>
      <c r="B670" s="23" t="s">
        <v>104</v>
      </c>
    </row>
    <row r="671" spans="1:2" ht="16.5" x14ac:dyDescent="0.2">
      <c r="A671" s="6" t="str">
        <f t="shared" si="10"/>
        <v>0</v>
      </c>
      <c r="B671" s="23" t="s">
        <v>104</v>
      </c>
    </row>
    <row r="672" spans="1:2" ht="16.5" x14ac:dyDescent="0.2">
      <c r="A672" s="6" t="str">
        <f t="shared" si="10"/>
        <v>0</v>
      </c>
      <c r="B672" s="23" t="s">
        <v>104</v>
      </c>
    </row>
    <row r="673" spans="1:2" ht="16.5" x14ac:dyDescent="0.2">
      <c r="A673" s="6" t="str">
        <f t="shared" si="10"/>
        <v>0</v>
      </c>
      <c r="B673" s="23" t="s">
        <v>104</v>
      </c>
    </row>
    <row r="674" spans="1:2" ht="16.5" x14ac:dyDescent="0.2">
      <c r="A674" s="6" t="str">
        <f t="shared" si="10"/>
        <v>0</v>
      </c>
      <c r="B674" s="23" t="s">
        <v>104</v>
      </c>
    </row>
    <row r="675" spans="1:2" ht="16.5" x14ac:dyDescent="0.2">
      <c r="A675" s="6" t="str">
        <f t="shared" si="10"/>
        <v>0</v>
      </c>
      <c r="B675" s="23" t="s">
        <v>104</v>
      </c>
    </row>
    <row r="676" spans="1:2" ht="16.5" x14ac:dyDescent="0.2">
      <c r="A676" s="6" t="str">
        <f t="shared" si="10"/>
        <v>0</v>
      </c>
      <c r="B676" s="23" t="s">
        <v>104</v>
      </c>
    </row>
    <row r="677" spans="1:2" ht="16.5" x14ac:dyDescent="0.2">
      <c r="A677" s="6" t="str">
        <f t="shared" si="10"/>
        <v>0</v>
      </c>
      <c r="B677" s="23" t="s">
        <v>104</v>
      </c>
    </row>
    <row r="678" spans="1:2" ht="16.5" x14ac:dyDescent="0.2">
      <c r="A678" s="6" t="str">
        <f t="shared" si="10"/>
        <v>0</v>
      </c>
      <c r="B678" s="23" t="s">
        <v>104</v>
      </c>
    </row>
    <row r="679" spans="1:2" ht="16.5" x14ac:dyDescent="0.2">
      <c r="A679" s="6" t="str">
        <f t="shared" si="10"/>
        <v>0</v>
      </c>
      <c r="B679" s="23" t="s">
        <v>104</v>
      </c>
    </row>
    <row r="680" spans="1:2" ht="16.5" x14ac:dyDescent="0.2">
      <c r="A680" s="6" t="str">
        <f t="shared" si="10"/>
        <v>0</v>
      </c>
      <c r="B680" s="23" t="s">
        <v>104</v>
      </c>
    </row>
    <row r="681" spans="1:2" ht="16.5" x14ac:dyDescent="0.2">
      <c r="A681" s="6" t="str">
        <f t="shared" si="10"/>
        <v>0</v>
      </c>
      <c r="B681" s="23" t="s">
        <v>104</v>
      </c>
    </row>
    <row r="682" spans="1:2" ht="16.5" x14ac:dyDescent="0.2">
      <c r="A682" s="6" t="str">
        <f t="shared" si="10"/>
        <v>0</v>
      </c>
      <c r="B682" s="23" t="s">
        <v>104</v>
      </c>
    </row>
    <row r="683" spans="1:2" ht="16.5" x14ac:dyDescent="0.2">
      <c r="A683" s="6" t="str">
        <f t="shared" si="10"/>
        <v>0</v>
      </c>
      <c r="B683" s="23" t="s">
        <v>104</v>
      </c>
    </row>
    <row r="684" spans="1:2" ht="16.5" x14ac:dyDescent="0.2">
      <c r="A684" s="6" t="str">
        <f t="shared" si="10"/>
        <v>0</v>
      </c>
      <c r="B684" s="23" t="s">
        <v>104</v>
      </c>
    </row>
    <row r="685" spans="1:2" ht="16.5" x14ac:dyDescent="0.2">
      <c r="A685" s="6" t="str">
        <f t="shared" si="10"/>
        <v>0</v>
      </c>
      <c r="B685" s="23" t="s">
        <v>104</v>
      </c>
    </row>
    <row r="686" spans="1:2" ht="16.5" x14ac:dyDescent="0.2">
      <c r="A686" s="6" t="str">
        <f t="shared" si="10"/>
        <v>0</v>
      </c>
      <c r="B686" s="23" t="s">
        <v>104</v>
      </c>
    </row>
    <row r="687" spans="1:2" ht="16.5" x14ac:dyDescent="0.2">
      <c r="A687" s="6" t="str">
        <f t="shared" si="10"/>
        <v>0</v>
      </c>
      <c r="B687" s="23" t="s">
        <v>104</v>
      </c>
    </row>
    <row r="688" spans="1:2" ht="16.5" x14ac:dyDescent="0.2">
      <c r="A688" s="6" t="str">
        <f t="shared" si="10"/>
        <v>0</v>
      </c>
      <c r="B688" s="23" t="s">
        <v>104</v>
      </c>
    </row>
    <row r="689" spans="1:2" ht="16.5" x14ac:dyDescent="0.2">
      <c r="A689" s="6" t="str">
        <f t="shared" si="10"/>
        <v>0</v>
      </c>
      <c r="B689" s="23" t="s">
        <v>104</v>
      </c>
    </row>
    <row r="690" spans="1:2" ht="16.5" x14ac:dyDescent="0.2">
      <c r="A690" s="6" t="str">
        <f t="shared" si="10"/>
        <v>0</v>
      </c>
      <c r="B690" s="23" t="s">
        <v>104</v>
      </c>
    </row>
    <row r="691" spans="1:2" ht="16.5" x14ac:dyDescent="0.2">
      <c r="A691" s="6" t="str">
        <f t="shared" si="10"/>
        <v>0</v>
      </c>
      <c r="B691" s="23" t="s">
        <v>104</v>
      </c>
    </row>
    <row r="692" spans="1:2" ht="16.5" x14ac:dyDescent="0.2">
      <c r="A692" s="6" t="str">
        <f t="shared" si="10"/>
        <v>0</v>
      </c>
      <c r="B692" s="23" t="s">
        <v>104</v>
      </c>
    </row>
    <row r="693" spans="1:2" ht="16.5" x14ac:dyDescent="0.2">
      <c r="A693" s="6" t="str">
        <f t="shared" si="10"/>
        <v>0</v>
      </c>
      <c r="B693" s="23" t="s">
        <v>104</v>
      </c>
    </row>
    <row r="694" spans="1:2" ht="16.5" x14ac:dyDescent="0.2">
      <c r="A694" s="6" t="str">
        <f t="shared" si="10"/>
        <v>0</v>
      </c>
      <c r="B694" s="23" t="s">
        <v>104</v>
      </c>
    </row>
    <row r="695" spans="1:2" ht="16.5" x14ac:dyDescent="0.2">
      <c r="A695" s="6" t="str">
        <f t="shared" si="10"/>
        <v>0</v>
      </c>
      <c r="B695" s="23" t="s">
        <v>104</v>
      </c>
    </row>
    <row r="696" spans="1:2" ht="16.5" x14ac:dyDescent="0.2">
      <c r="A696" s="6" t="str">
        <f t="shared" si="10"/>
        <v>0</v>
      </c>
      <c r="B696" s="23" t="s">
        <v>104</v>
      </c>
    </row>
    <row r="697" spans="1:2" ht="16.5" x14ac:dyDescent="0.2">
      <c r="A697" s="6" t="str">
        <f t="shared" si="10"/>
        <v>0</v>
      </c>
      <c r="B697" s="23" t="s">
        <v>104</v>
      </c>
    </row>
    <row r="698" spans="1:2" ht="16.5" x14ac:dyDescent="0.2">
      <c r="A698" s="6" t="str">
        <f t="shared" si="10"/>
        <v>0</v>
      </c>
      <c r="B698" s="23" t="s">
        <v>104</v>
      </c>
    </row>
    <row r="699" spans="1:2" ht="16.5" x14ac:dyDescent="0.2">
      <c r="A699" s="6" t="str">
        <f t="shared" si="10"/>
        <v>0</v>
      </c>
      <c r="B699" s="23" t="s">
        <v>104</v>
      </c>
    </row>
    <row r="700" spans="1:2" ht="16.5" x14ac:dyDescent="0.2">
      <c r="A700" s="6" t="str">
        <f t="shared" ref="A700:A763" si="11">LEN(G700)&amp;LEFT(G700,1)</f>
        <v>0</v>
      </c>
      <c r="B700" s="23" t="s">
        <v>104</v>
      </c>
    </row>
    <row r="701" spans="1:2" ht="16.5" x14ac:dyDescent="0.2">
      <c r="A701" s="6" t="str">
        <f t="shared" si="11"/>
        <v>0</v>
      </c>
      <c r="B701" s="23" t="s">
        <v>104</v>
      </c>
    </row>
    <row r="702" spans="1:2" ht="16.5" x14ac:dyDescent="0.2">
      <c r="A702" s="6" t="str">
        <f t="shared" si="11"/>
        <v>0</v>
      </c>
      <c r="B702" s="23" t="s">
        <v>104</v>
      </c>
    </row>
    <row r="703" spans="1:2" ht="16.5" x14ac:dyDescent="0.2">
      <c r="A703" s="6" t="str">
        <f t="shared" si="11"/>
        <v>0</v>
      </c>
      <c r="B703" s="23" t="s">
        <v>104</v>
      </c>
    </row>
    <row r="704" spans="1:2" ht="16.5" x14ac:dyDescent="0.2">
      <c r="A704" s="6" t="str">
        <f t="shared" si="11"/>
        <v>0</v>
      </c>
      <c r="B704" s="23" t="s">
        <v>104</v>
      </c>
    </row>
    <row r="705" spans="1:2" ht="16.5" x14ac:dyDescent="0.2">
      <c r="A705" s="6" t="str">
        <f t="shared" si="11"/>
        <v>0</v>
      </c>
      <c r="B705" s="23" t="s">
        <v>104</v>
      </c>
    </row>
    <row r="706" spans="1:2" ht="16.5" x14ac:dyDescent="0.2">
      <c r="A706" s="6" t="str">
        <f t="shared" si="11"/>
        <v>0</v>
      </c>
      <c r="B706" s="23" t="s">
        <v>104</v>
      </c>
    </row>
    <row r="707" spans="1:2" ht="16.5" x14ac:dyDescent="0.2">
      <c r="A707" s="6" t="str">
        <f t="shared" si="11"/>
        <v>0</v>
      </c>
      <c r="B707" s="23" t="s">
        <v>104</v>
      </c>
    </row>
    <row r="708" spans="1:2" ht="16.5" x14ac:dyDescent="0.2">
      <c r="A708" s="6" t="str">
        <f t="shared" si="11"/>
        <v>0</v>
      </c>
      <c r="B708" s="23" t="s">
        <v>104</v>
      </c>
    </row>
    <row r="709" spans="1:2" ht="16.5" x14ac:dyDescent="0.2">
      <c r="A709" s="6" t="str">
        <f t="shared" si="11"/>
        <v>0</v>
      </c>
      <c r="B709" s="23" t="s">
        <v>104</v>
      </c>
    </row>
    <row r="710" spans="1:2" ht="16.5" x14ac:dyDescent="0.2">
      <c r="A710" s="6" t="str">
        <f t="shared" si="11"/>
        <v>0</v>
      </c>
      <c r="B710" s="23" t="s">
        <v>104</v>
      </c>
    </row>
    <row r="711" spans="1:2" ht="16.5" x14ac:dyDescent="0.2">
      <c r="A711" s="6" t="str">
        <f t="shared" si="11"/>
        <v>0</v>
      </c>
      <c r="B711" s="23" t="s">
        <v>104</v>
      </c>
    </row>
    <row r="712" spans="1:2" ht="16.5" x14ac:dyDescent="0.2">
      <c r="A712" s="6" t="str">
        <f t="shared" si="11"/>
        <v>0</v>
      </c>
      <c r="B712" s="23" t="s">
        <v>104</v>
      </c>
    </row>
    <row r="713" spans="1:2" ht="16.5" x14ac:dyDescent="0.2">
      <c r="A713" s="6" t="str">
        <f t="shared" si="11"/>
        <v>0</v>
      </c>
      <c r="B713" s="23" t="s">
        <v>104</v>
      </c>
    </row>
    <row r="714" spans="1:2" ht="16.5" x14ac:dyDescent="0.2">
      <c r="A714" s="6" t="str">
        <f t="shared" si="11"/>
        <v>0</v>
      </c>
      <c r="B714" s="23" t="s">
        <v>104</v>
      </c>
    </row>
    <row r="715" spans="1:2" ht="16.5" x14ac:dyDescent="0.2">
      <c r="A715" s="6" t="str">
        <f t="shared" si="11"/>
        <v>0</v>
      </c>
      <c r="B715" s="23" t="s">
        <v>104</v>
      </c>
    </row>
    <row r="716" spans="1:2" ht="16.5" x14ac:dyDescent="0.2">
      <c r="A716" s="6" t="str">
        <f t="shared" si="11"/>
        <v>0</v>
      </c>
      <c r="B716" s="23" t="s">
        <v>104</v>
      </c>
    </row>
    <row r="717" spans="1:2" ht="16.5" x14ac:dyDescent="0.2">
      <c r="A717" s="6" t="str">
        <f t="shared" si="11"/>
        <v>0</v>
      </c>
      <c r="B717" s="23" t="s">
        <v>104</v>
      </c>
    </row>
    <row r="718" spans="1:2" ht="16.5" x14ac:dyDescent="0.2">
      <c r="A718" s="6" t="str">
        <f t="shared" si="11"/>
        <v>0</v>
      </c>
      <c r="B718" s="23" t="s">
        <v>104</v>
      </c>
    </row>
    <row r="719" spans="1:2" ht="16.5" x14ac:dyDescent="0.2">
      <c r="A719" s="6" t="str">
        <f t="shared" si="11"/>
        <v>0</v>
      </c>
      <c r="B719" s="23" t="s">
        <v>104</v>
      </c>
    </row>
    <row r="720" spans="1:2" ht="16.5" x14ac:dyDescent="0.2">
      <c r="A720" s="6" t="str">
        <f t="shared" si="11"/>
        <v>0</v>
      </c>
      <c r="B720" s="23" t="s">
        <v>104</v>
      </c>
    </row>
    <row r="721" spans="1:2" ht="16.5" x14ac:dyDescent="0.2">
      <c r="A721" s="6" t="str">
        <f t="shared" si="11"/>
        <v>0</v>
      </c>
      <c r="B721" s="23" t="s">
        <v>104</v>
      </c>
    </row>
    <row r="722" spans="1:2" ht="16.5" x14ac:dyDescent="0.2">
      <c r="A722" s="6" t="str">
        <f t="shared" si="11"/>
        <v>0</v>
      </c>
      <c r="B722" s="23" t="s">
        <v>104</v>
      </c>
    </row>
    <row r="723" spans="1:2" ht="16.5" x14ac:dyDescent="0.2">
      <c r="A723" s="6" t="str">
        <f t="shared" si="11"/>
        <v>0</v>
      </c>
      <c r="B723" s="23" t="s">
        <v>104</v>
      </c>
    </row>
    <row r="724" spans="1:2" ht="16.5" x14ac:dyDescent="0.2">
      <c r="A724" s="6" t="str">
        <f t="shared" si="11"/>
        <v>0</v>
      </c>
      <c r="B724" s="23" t="s">
        <v>104</v>
      </c>
    </row>
    <row r="725" spans="1:2" ht="16.5" x14ac:dyDescent="0.2">
      <c r="A725" s="6" t="str">
        <f t="shared" si="11"/>
        <v>0</v>
      </c>
      <c r="B725" s="23" t="s">
        <v>104</v>
      </c>
    </row>
    <row r="726" spans="1:2" ht="16.5" x14ac:dyDescent="0.2">
      <c r="A726" s="6" t="str">
        <f t="shared" si="11"/>
        <v>0</v>
      </c>
      <c r="B726" s="23" t="s">
        <v>104</v>
      </c>
    </row>
    <row r="727" spans="1:2" ht="16.5" x14ac:dyDescent="0.2">
      <c r="A727" s="6" t="str">
        <f t="shared" si="11"/>
        <v>0</v>
      </c>
      <c r="B727" s="23" t="s">
        <v>104</v>
      </c>
    </row>
    <row r="728" spans="1:2" ht="16.5" x14ac:dyDescent="0.2">
      <c r="A728" s="6" t="str">
        <f t="shared" si="11"/>
        <v>0</v>
      </c>
      <c r="B728" s="23" t="s">
        <v>104</v>
      </c>
    </row>
    <row r="729" spans="1:2" ht="16.5" x14ac:dyDescent="0.2">
      <c r="A729" s="6" t="str">
        <f t="shared" si="11"/>
        <v>0</v>
      </c>
      <c r="B729" s="23" t="s">
        <v>104</v>
      </c>
    </row>
    <row r="730" spans="1:2" ht="16.5" x14ac:dyDescent="0.2">
      <c r="A730" s="6" t="str">
        <f t="shared" si="11"/>
        <v>0</v>
      </c>
      <c r="B730" s="23" t="s">
        <v>104</v>
      </c>
    </row>
    <row r="731" spans="1:2" ht="16.5" x14ac:dyDescent="0.2">
      <c r="A731" s="6" t="str">
        <f t="shared" si="11"/>
        <v>0</v>
      </c>
      <c r="B731" s="23" t="s">
        <v>104</v>
      </c>
    </row>
    <row r="732" spans="1:2" ht="16.5" x14ac:dyDescent="0.2">
      <c r="A732" s="6" t="str">
        <f t="shared" si="11"/>
        <v>0</v>
      </c>
      <c r="B732" s="23" t="s">
        <v>104</v>
      </c>
    </row>
    <row r="733" spans="1:2" ht="16.5" x14ac:dyDescent="0.2">
      <c r="A733" s="6" t="str">
        <f t="shared" si="11"/>
        <v>0</v>
      </c>
      <c r="B733" s="23" t="s">
        <v>104</v>
      </c>
    </row>
    <row r="734" spans="1:2" ht="16.5" x14ac:dyDescent="0.2">
      <c r="A734" s="6" t="str">
        <f t="shared" si="11"/>
        <v>0</v>
      </c>
      <c r="B734" s="23" t="s">
        <v>104</v>
      </c>
    </row>
    <row r="735" spans="1:2" ht="16.5" x14ac:dyDescent="0.2">
      <c r="A735" s="6" t="str">
        <f t="shared" si="11"/>
        <v>0</v>
      </c>
      <c r="B735" s="23" t="s">
        <v>104</v>
      </c>
    </row>
    <row r="736" spans="1:2" ht="16.5" x14ac:dyDescent="0.2">
      <c r="A736" s="6" t="str">
        <f t="shared" si="11"/>
        <v>0</v>
      </c>
      <c r="B736" s="23" t="s">
        <v>104</v>
      </c>
    </row>
    <row r="737" spans="1:2" ht="16.5" x14ac:dyDescent="0.2">
      <c r="A737" s="6" t="str">
        <f t="shared" si="11"/>
        <v>0</v>
      </c>
      <c r="B737" s="23" t="s">
        <v>104</v>
      </c>
    </row>
    <row r="738" spans="1:2" ht="16.5" x14ac:dyDescent="0.2">
      <c r="A738" s="6" t="str">
        <f t="shared" si="11"/>
        <v>0</v>
      </c>
      <c r="B738" s="23" t="s">
        <v>104</v>
      </c>
    </row>
    <row r="739" spans="1:2" ht="16.5" x14ac:dyDescent="0.2">
      <c r="A739" s="6" t="str">
        <f t="shared" si="11"/>
        <v>0</v>
      </c>
      <c r="B739" s="23" t="s">
        <v>104</v>
      </c>
    </row>
    <row r="740" spans="1:2" ht="16.5" x14ac:dyDescent="0.2">
      <c r="A740" s="6" t="str">
        <f t="shared" si="11"/>
        <v>0</v>
      </c>
      <c r="B740" s="23" t="s">
        <v>104</v>
      </c>
    </row>
    <row r="741" spans="1:2" ht="16.5" x14ac:dyDescent="0.2">
      <c r="A741" s="6" t="str">
        <f t="shared" si="11"/>
        <v>0</v>
      </c>
      <c r="B741" s="23" t="s">
        <v>104</v>
      </c>
    </row>
    <row r="742" spans="1:2" ht="16.5" x14ac:dyDescent="0.2">
      <c r="A742" s="6" t="str">
        <f t="shared" si="11"/>
        <v>0</v>
      </c>
      <c r="B742" s="23" t="s">
        <v>104</v>
      </c>
    </row>
    <row r="743" spans="1:2" ht="16.5" x14ac:dyDescent="0.2">
      <c r="A743" s="6" t="str">
        <f t="shared" si="11"/>
        <v>0</v>
      </c>
      <c r="B743" s="23" t="s">
        <v>104</v>
      </c>
    </row>
    <row r="744" spans="1:2" ht="16.5" x14ac:dyDescent="0.2">
      <c r="A744" s="6" t="str">
        <f t="shared" si="11"/>
        <v>0</v>
      </c>
      <c r="B744" s="23" t="s">
        <v>104</v>
      </c>
    </row>
    <row r="745" spans="1:2" ht="16.5" x14ac:dyDescent="0.2">
      <c r="A745" s="6" t="str">
        <f t="shared" si="11"/>
        <v>0</v>
      </c>
      <c r="B745" s="23" t="s">
        <v>104</v>
      </c>
    </row>
    <row r="746" spans="1:2" ht="16.5" x14ac:dyDescent="0.2">
      <c r="A746" s="6" t="str">
        <f t="shared" si="11"/>
        <v>0</v>
      </c>
      <c r="B746" s="23" t="s">
        <v>104</v>
      </c>
    </row>
    <row r="747" spans="1:2" ht="16.5" x14ac:dyDescent="0.2">
      <c r="A747" s="6" t="str">
        <f t="shared" si="11"/>
        <v>0</v>
      </c>
      <c r="B747" s="23" t="s">
        <v>104</v>
      </c>
    </row>
    <row r="748" spans="1:2" ht="16.5" x14ac:dyDescent="0.2">
      <c r="A748" s="6" t="str">
        <f t="shared" si="11"/>
        <v>0</v>
      </c>
      <c r="B748" s="23" t="s">
        <v>104</v>
      </c>
    </row>
    <row r="749" spans="1:2" ht="16.5" x14ac:dyDescent="0.2">
      <c r="A749" s="6" t="str">
        <f t="shared" si="11"/>
        <v>0</v>
      </c>
      <c r="B749" s="23" t="s">
        <v>104</v>
      </c>
    </row>
    <row r="750" spans="1:2" ht="16.5" x14ac:dyDescent="0.2">
      <c r="A750" s="6" t="str">
        <f t="shared" si="11"/>
        <v>0</v>
      </c>
      <c r="B750" s="23" t="s">
        <v>104</v>
      </c>
    </row>
    <row r="751" spans="1:2" ht="16.5" x14ac:dyDescent="0.2">
      <c r="A751" s="6" t="str">
        <f t="shared" si="11"/>
        <v>0</v>
      </c>
      <c r="B751" s="23" t="s">
        <v>104</v>
      </c>
    </row>
    <row r="752" spans="1:2" ht="16.5" x14ac:dyDescent="0.2">
      <c r="A752" s="6" t="str">
        <f t="shared" si="11"/>
        <v>0</v>
      </c>
      <c r="B752" s="23" t="s">
        <v>104</v>
      </c>
    </row>
    <row r="753" spans="1:2" ht="16.5" x14ac:dyDescent="0.2">
      <c r="A753" s="6" t="str">
        <f t="shared" si="11"/>
        <v>0</v>
      </c>
      <c r="B753" s="23" t="s">
        <v>104</v>
      </c>
    </row>
    <row r="754" spans="1:2" ht="16.5" x14ac:dyDescent="0.2">
      <c r="A754" s="6" t="str">
        <f t="shared" si="11"/>
        <v>0</v>
      </c>
      <c r="B754" s="23" t="s">
        <v>104</v>
      </c>
    </row>
    <row r="755" spans="1:2" ht="16.5" x14ac:dyDescent="0.2">
      <c r="A755" s="6" t="str">
        <f t="shared" si="11"/>
        <v>0</v>
      </c>
      <c r="B755" s="23" t="s">
        <v>104</v>
      </c>
    </row>
    <row r="756" spans="1:2" ht="16.5" x14ac:dyDescent="0.2">
      <c r="A756" s="6" t="str">
        <f t="shared" si="11"/>
        <v>0</v>
      </c>
      <c r="B756" s="23" t="s">
        <v>104</v>
      </c>
    </row>
    <row r="757" spans="1:2" ht="16.5" x14ac:dyDescent="0.2">
      <c r="A757" s="6" t="str">
        <f t="shared" si="11"/>
        <v>0</v>
      </c>
      <c r="B757" s="23" t="s">
        <v>104</v>
      </c>
    </row>
    <row r="758" spans="1:2" ht="16.5" x14ac:dyDescent="0.2">
      <c r="A758" s="6" t="str">
        <f t="shared" si="11"/>
        <v>0</v>
      </c>
      <c r="B758" s="23" t="s">
        <v>104</v>
      </c>
    </row>
    <row r="759" spans="1:2" ht="16.5" x14ac:dyDescent="0.2">
      <c r="A759" s="6" t="str">
        <f t="shared" si="11"/>
        <v>0</v>
      </c>
      <c r="B759" s="23" t="s">
        <v>104</v>
      </c>
    </row>
    <row r="760" spans="1:2" ht="16.5" x14ac:dyDescent="0.2">
      <c r="A760" s="6" t="str">
        <f t="shared" si="11"/>
        <v>0</v>
      </c>
      <c r="B760" s="23" t="s">
        <v>104</v>
      </c>
    </row>
    <row r="761" spans="1:2" ht="16.5" x14ac:dyDescent="0.2">
      <c r="A761" s="6" t="str">
        <f t="shared" si="11"/>
        <v>0</v>
      </c>
      <c r="B761" s="23" t="s">
        <v>104</v>
      </c>
    </row>
    <row r="762" spans="1:2" ht="16.5" x14ac:dyDescent="0.2">
      <c r="A762" s="6" t="str">
        <f t="shared" si="11"/>
        <v>0</v>
      </c>
      <c r="B762" s="23" t="s">
        <v>104</v>
      </c>
    </row>
    <row r="763" spans="1:2" ht="16.5" x14ac:dyDescent="0.2">
      <c r="A763" s="6" t="str">
        <f t="shared" si="11"/>
        <v>0</v>
      </c>
      <c r="B763" s="23" t="s">
        <v>104</v>
      </c>
    </row>
    <row r="764" spans="1:2" ht="16.5" x14ac:dyDescent="0.2">
      <c r="A764" s="6" t="str">
        <f t="shared" ref="A764:A827" si="12">LEN(G764)&amp;LEFT(G764,1)</f>
        <v>0</v>
      </c>
      <c r="B764" s="23" t="s">
        <v>104</v>
      </c>
    </row>
    <row r="765" spans="1:2" ht="16.5" x14ac:dyDescent="0.2">
      <c r="A765" s="6" t="str">
        <f t="shared" si="12"/>
        <v>0</v>
      </c>
      <c r="B765" s="23" t="s">
        <v>104</v>
      </c>
    </row>
    <row r="766" spans="1:2" ht="16.5" x14ac:dyDescent="0.2">
      <c r="A766" s="6" t="str">
        <f t="shared" si="12"/>
        <v>0</v>
      </c>
      <c r="B766" s="23" t="s">
        <v>104</v>
      </c>
    </row>
    <row r="767" spans="1:2" ht="16.5" x14ac:dyDescent="0.2">
      <c r="A767" s="6" t="str">
        <f t="shared" si="12"/>
        <v>0</v>
      </c>
      <c r="B767" s="23" t="s">
        <v>104</v>
      </c>
    </row>
    <row r="768" spans="1:2" ht="16.5" x14ac:dyDescent="0.2">
      <c r="A768" s="6" t="str">
        <f t="shared" si="12"/>
        <v>0</v>
      </c>
      <c r="B768" s="23" t="s">
        <v>104</v>
      </c>
    </row>
    <row r="769" spans="1:2" ht="16.5" x14ac:dyDescent="0.2">
      <c r="A769" s="6" t="str">
        <f t="shared" si="12"/>
        <v>0</v>
      </c>
      <c r="B769" s="23" t="s">
        <v>104</v>
      </c>
    </row>
    <row r="770" spans="1:2" ht="16.5" x14ac:dyDescent="0.2">
      <c r="A770" s="6" t="str">
        <f t="shared" si="12"/>
        <v>0</v>
      </c>
      <c r="B770" s="23" t="s">
        <v>104</v>
      </c>
    </row>
    <row r="771" spans="1:2" ht="16.5" x14ac:dyDescent="0.2">
      <c r="A771" s="6" t="str">
        <f t="shared" si="12"/>
        <v>0</v>
      </c>
      <c r="B771" s="23" t="s">
        <v>104</v>
      </c>
    </row>
    <row r="772" spans="1:2" ht="16.5" x14ac:dyDescent="0.2">
      <c r="A772" s="6" t="str">
        <f t="shared" si="12"/>
        <v>0</v>
      </c>
      <c r="B772" s="23" t="s">
        <v>104</v>
      </c>
    </row>
    <row r="773" spans="1:2" ht="16.5" x14ac:dyDescent="0.2">
      <c r="A773" s="6" t="str">
        <f t="shared" si="12"/>
        <v>0</v>
      </c>
      <c r="B773" s="23" t="s">
        <v>104</v>
      </c>
    </row>
    <row r="774" spans="1:2" ht="16.5" x14ac:dyDescent="0.2">
      <c r="A774" s="6" t="str">
        <f t="shared" si="12"/>
        <v>0</v>
      </c>
      <c r="B774" s="23" t="s">
        <v>104</v>
      </c>
    </row>
    <row r="775" spans="1:2" ht="16.5" x14ac:dyDescent="0.2">
      <c r="A775" s="6" t="str">
        <f t="shared" si="12"/>
        <v>0</v>
      </c>
      <c r="B775" s="23" t="s">
        <v>104</v>
      </c>
    </row>
    <row r="776" spans="1:2" ht="16.5" x14ac:dyDescent="0.2">
      <c r="A776" s="6" t="str">
        <f t="shared" si="12"/>
        <v>0</v>
      </c>
      <c r="B776" s="23" t="s">
        <v>104</v>
      </c>
    </row>
    <row r="777" spans="1:2" ht="16.5" x14ac:dyDescent="0.2">
      <c r="A777" s="6" t="str">
        <f t="shared" si="12"/>
        <v>0</v>
      </c>
      <c r="B777" s="23" t="s">
        <v>104</v>
      </c>
    </row>
    <row r="778" spans="1:2" ht="16.5" x14ac:dyDescent="0.2">
      <c r="A778" s="6" t="str">
        <f t="shared" si="12"/>
        <v>0</v>
      </c>
      <c r="B778" s="23" t="s">
        <v>104</v>
      </c>
    </row>
    <row r="779" spans="1:2" ht="16.5" x14ac:dyDescent="0.2">
      <c r="A779" s="6" t="str">
        <f t="shared" si="12"/>
        <v>0</v>
      </c>
      <c r="B779" s="23" t="s">
        <v>104</v>
      </c>
    </row>
    <row r="780" spans="1:2" ht="16.5" x14ac:dyDescent="0.2">
      <c r="A780" s="6" t="str">
        <f t="shared" si="12"/>
        <v>0</v>
      </c>
      <c r="B780" s="23" t="s">
        <v>104</v>
      </c>
    </row>
    <row r="781" spans="1:2" ht="16.5" x14ac:dyDescent="0.2">
      <c r="A781" s="6" t="str">
        <f t="shared" si="12"/>
        <v>0</v>
      </c>
      <c r="B781" s="23" t="s">
        <v>104</v>
      </c>
    </row>
    <row r="782" spans="1:2" ht="16.5" x14ac:dyDescent="0.2">
      <c r="A782" s="6" t="str">
        <f t="shared" si="12"/>
        <v>0</v>
      </c>
      <c r="B782" s="23" t="s">
        <v>104</v>
      </c>
    </row>
    <row r="783" spans="1:2" ht="16.5" x14ac:dyDescent="0.2">
      <c r="A783" s="6" t="str">
        <f t="shared" si="12"/>
        <v>0</v>
      </c>
      <c r="B783" s="23" t="s">
        <v>104</v>
      </c>
    </row>
    <row r="784" spans="1:2" ht="16.5" x14ac:dyDescent="0.2">
      <c r="A784" s="6" t="str">
        <f t="shared" si="12"/>
        <v>0</v>
      </c>
      <c r="B784" s="23" t="s">
        <v>104</v>
      </c>
    </row>
    <row r="785" spans="1:2" ht="16.5" x14ac:dyDescent="0.2">
      <c r="A785" s="6" t="str">
        <f t="shared" si="12"/>
        <v>0</v>
      </c>
      <c r="B785" s="23" t="s">
        <v>104</v>
      </c>
    </row>
    <row r="786" spans="1:2" ht="16.5" x14ac:dyDescent="0.2">
      <c r="A786" s="6" t="str">
        <f t="shared" si="12"/>
        <v>0</v>
      </c>
      <c r="B786" s="23" t="s">
        <v>104</v>
      </c>
    </row>
    <row r="787" spans="1:2" ht="16.5" x14ac:dyDescent="0.2">
      <c r="A787" s="6" t="str">
        <f t="shared" si="12"/>
        <v>0</v>
      </c>
      <c r="B787" s="23" t="s">
        <v>104</v>
      </c>
    </row>
    <row r="788" spans="1:2" ht="16.5" x14ac:dyDescent="0.2">
      <c r="A788" s="6" t="str">
        <f t="shared" si="12"/>
        <v>0</v>
      </c>
      <c r="B788" s="23" t="s">
        <v>104</v>
      </c>
    </row>
    <row r="789" spans="1:2" ht="16.5" x14ac:dyDescent="0.2">
      <c r="A789" s="6" t="str">
        <f t="shared" si="12"/>
        <v>0</v>
      </c>
      <c r="B789" s="23" t="s">
        <v>104</v>
      </c>
    </row>
    <row r="790" spans="1:2" ht="16.5" x14ac:dyDescent="0.2">
      <c r="A790" s="6" t="str">
        <f t="shared" si="12"/>
        <v>0</v>
      </c>
      <c r="B790" s="23" t="s">
        <v>104</v>
      </c>
    </row>
    <row r="791" spans="1:2" ht="16.5" x14ac:dyDescent="0.2">
      <c r="A791" s="6" t="str">
        <f t="shared" si="12"/>
        <v>0</v>
      </c>
      <c r="B791" s="23" t="s">
        <v>104</v>
      </c>
    </row>
    <row r="792" spans="1:2" ht="16.5" x14ac:dyDescent="0.2">
      <c r="A792" s="6" t="str">
        <f t="shared" si="12"/>
        <v>0</v>
      </c>
      <c r="B792" s="23" t="s">
        <v>104</v>
      </c>
    </row>
    <row r="793" spans="1:2" ht="16.5" x14ac:dyDescent="0.2">
      <c r="A793" s="6" t="str">
        <f t="shared" si="12"/>
        <v>0</v>
      </c>
      <c r="B793" s="23" t="s">
        <v>104</v>
      </c>
    </row>
    <row r="794" spans="1:2" ht="16.5" x14ac:dyDescent="0.2">
      <c r="A794" s="6" t="str">
        <f t="shared" si="12"/>
        <v>0</v>
      </c>
      <c r="B794" s="23" t="s">
        <v>104</v>
      </c>
    </row>
    <row r="795" spans="1:2" ht="16.5" x14ac:dyDescent="0.2">
      <c r="A795" s="6" t="str">
        <f t="shared" si="12"/>
        <v>0</v>
      </c>
      <c r="B795" s="23" t="s">
        <v>104</v>
      </c>
    </row>
    <row r="796" spans="1:2" ht="16.5" x14ac:dyDescent="0.2">
      <c r="A796" s="6" t="str">
        <f t="shared" si="12"/>
        <v>0</v>
      </c>
      <c r="B796" s="23" t="s">
        <v>104</v>
      </c>
    </row>
    <row r="797" spans="1:2" ht="16.5" x14ac:dyDescent="0.2">
      <c r="A797" s="6" t="str">
        <f t="shared" si="12"/>
        <v>0</v>
      </c>
      <c r="B797" s="23" t="s">
        <v>104</v>
      </c>
    </row>
    <row r="798" spans="1:2" ht="16.5" x14ac:dyDescent="0.2">
      <c r="A798" s="6" t="str">
        <f t="shared" si="12"/>
        <v>0</v>
      </c>
      <c r="B798" s="23" t="s">
        <v>104</v>
      </c>
    </row>
    <row r="799" spans="1:2" ht="16.5" x14ac:dyDescent="0.2">
      <c r="A799" s="6" t="str">
        <f t="shared" si="12"/>
        <v>0</v>
      </c>
      <c r="B799" s="23" t="s">
        <v>104</v>
      </c>
    </row>
    <row r="800" spans="1:2" ht="16.5" x14ac:dyDescent="0.2">
      <c r="A800" s="6" t="str">
        <f t="shared" si="12"/>
        <v>0</v>
      </c>
      <c r="B800" s="23" t="s">
        <v>104</v>
      </c>
    </row>
    <row r="801" spans="1:2" ht="16.5" x14ac:dyDescent="0.2">
      <c r="A801" s="6" t="str">
        <f t="shared" si="12"/>
        <v>0</v>
      </c>
      <c r="B801" s="23" t="s">
        <v>104</v>
      </c>
    </row>
    <row r="802" spans="1:2" ht="16.5" x14ac:dyDescent="0.2">
      <c r="A802" s="6" t="str">
        <f t="shared" si="12"/>
        <v>0</v>
      </c>
      <c r="B802" s="23" t="s">
        <v>104</v>
      </c>
    </row>
    <row r="803" spans="1:2" ht="16.5" x14ac:dyDescent="0.2">
      <c r="A803" s="6" t="str">
        <f t="shared" si="12"/>
        <v>0</v>
      </c>
      <c r="B803" s="23" t="s">
        <v>104</v>
      </c>
    </row>
    <row r="804" spans="1:2" ht="16.5" x14ac:dyDescent="0.2">
      <c r="A804" s="6" t="str">
        <f t="shared" si="12"/>
        <v>0</v>
      </c>
      <c r="B804" s="23" t="s">
        <v>104</v>
      </c>
    </row>
    <row r="805" spans="1:2" ht="16.5" x14ac:dyDescent="0.2">
      <c r="A805" s="6" t="str">
        <f t="shared" si="12"/>
        <v>0</v>
      </c>
      <c r="B805" s="23" t="s">
        <v>104</v>
      </c>
    </row>
    <row r="806" spans="1:2" ht="16.5" x14ac:dyDescent="0.2">
      <c r="A806" s="6" t="str">
        <f t="shared" si="12"/>
        <v>0</v>
      </c>
      <c r="B806" s="23" t="s">
        <v>104</v>
      </c>
    </row>
    <row r="807" spans="1:2" ht="16.5" x14ac:dyDescent="0.2">
      <c r="A807" s="6" t="str">
        <f t="shared" si="12"/>
        <v>0</v>
      </c>
      <c r="B807" s="23" t="s">
        <v>104</v>
      </c>
    </row>
    <row r="808" spans="1:2" ht="16.5" x14ac:dyDescent="0.2">
      <c r="A808" s="6" t="str">
        <f t="shared" si="12"/>
        <v>0</v>
      </c>
      <c r="B808" s="23" t="s">
        <v>104</v>
      </c>
    </row>
    <row r="809" spans="1:2" ht="16.5" x14ac:dyDescent="0.2">
      <c r="A809" s="6" t="str">
        <f t="shared" si="12"/>
        <v>0</v>
      </c>
      <c r="B809" s="23" t="s">
        <v>104</v>
      </c>
    </row>
    <row r="810" spans="1:2" ht="16.5" x14ac:dyDescent="0.2">
      <c r="A810" s="6" t="str">
        <f t="shared" si="12"/>
        <v>0</v>
      </c>
      <c r="B810" s="23" t="s">
        <v>104</v>
      </c>
    </row>
    <row r="811" spans="1:2" ht="16.5" x14ac:dyDescent="0.2">
      <c r="A811" s="6" t="str">
        <f t="shared" si="12"/>
        <v>0</v>
      </c>
      <c r="B811" s="23" t="s">
        <v>104</v>
      </c>
    </row>
    <row r="812" spans="1:2" ht="16.5" x14ac:dyDescent="0.2">
      <c r="A812" s="6" t="str">
        <f t="shared" si="12"/>
        <v>0</v>
      </c>
      <c r="B812" s="23" t="s">
        <v>104</v>
      </c>
    </row>
    <row r="813" spans="1:2" ht="16.5" x14ac:dyDescent="0.2">
      <c r="A813" s="6" t="str">
        <f t="shared" si="12"/>
        <v>0</v>
      </c>
      <c r="B813" s="23" t="s">
        <v>104</v>
      </c>
    </row>
    <row r="814" spans="1:2" ht="16.5" x14ac:dyDescent="0.2">
      <c r="A814" s="6" t="str">
        <f t="shared" si="12"/>
        <v>0</v>
      </c>
      <c r="B814" s="23" t="s">
        <v>104</v>
      </c>
    </row>
    <row r="815" spans="1:2" ht="16.5" x14ac:dyDescent="0.2">
      <c r="A815" s="6" t="str">
        <f t="shared" si="12"/>
        <v>0</v>
      </c>
      <c r="B815" s="23" t="s">
        <v>104</v>
      </c>
    </row>
    <row r="816" spans="1:2" ht="16.5" x14ac:dyDescent="0.2">
      <c r="A816" s="6" t="str">
        <f t="shared" si="12"/>
        <v>0</v>
      </c>
      <c r="B816" s="23" t="s">
        <v>104</v>
      </c>
    </row>
    <row r="817" spans="1:2" ht="16.5" x14ac:dyDescent="0.2">
      <c r="A817" s="6" t="str">
        <f t="shared" si="12"/>
        <v>0</v>
      </c>
      <c r="B817" s="23" t="s">
        <v>104</v>
      </c>
    </row>
    <row r="818" spans="1:2" ht="16.5" x14ac:dyDescent="0.2">
      <c r="A818" s="6" t="str">
        <f t="shared" si="12"/>
        <v>0</v>
      </c>
      <c r="B818" s="23" t="s">
        <v>104</v>
      </c>
    </row>
    <row r="819" spans="1:2" ht="16.5" x14ac:dyDescent="0.2">
      <c r="A819" s="6" t="str">
        <f t="shared" si="12"/>
        <v>0</v>
      </c>
      <c r="B819" s="23" t="s">
        <v>104</v>
      </c>
    </row>
    <row r="820" spans="1:2" ht="16.5" x14ac:dyDescent="0.2">
      <c r="A820" s="6" t="str">
        <f t="shared" si="12"/>
        <v>0</v>
      </c>
      <c r="B820" s="23" t="s">
        <v>104</v>
      </c>
    </row>
    <row r="821" spans="1:2" ht="16.5" x14ac:dyDescent="0.2">
      <c r="A821" s="6" t="str">
        <f t="shared" si="12"/>
        <v>0</v>
      </c>
      <c r="B821" s="23" t="s">
        <v>104</v>
      </c>
    </row>
    <row r="822" spans="1:2" ht="16.5" x14ac:dyDescent="0.2">
      <c r="A822" s="6" t="str">
        <f t="shared" si="12"/>
        <v>0</v>
      </c>
      <c r="B822" s="23" t="s">
        <v>104</v>
      </c>
    </row>
    <row r="823" spans="1:2" ht="16.5" x14ac:dyDescent="0.2">
      <c r="A823" s="6" t="str">
        <f t="shared" si="12"/>
        <v>0</v>
      </c>
      <c r="B823" s="23" t="s">
        <v>104</v>
      </c>
    </row>
    <row r="824" spans="1:2" ht="16.5" x14ac:dyDescent="0.2">
      <c r="A824" s="6" t="str">
        <f t="shared" si="12"/>
        <v>0</v>
      </c>
      <c r="B824" s="23" t="s">
        <v>104</v>
      </c>
    </row>
    <row r="825" spans="1:2" ht="16.5" x14ac:dyDescent="0.2">
      <c r="A825" s="6" t="str">
        <f t="shared" si="12"/>
        <v>0</v>
      </c>
      <c r="B825" s="23" t="s">
        <v>104</v>
      </c>
    </row>
    <row r="826" spans="1:2" ht="16.5" x14ac:dyDescent="0.2">
      <c r="A826" s="6" t="str">
        <f t="shared" si="12"/>
        <v>0</v>
      </c>
      <c r="B826" s="23" t="s">
        <v>104</v>
      </c>
    </row>
    <row r="827" spans="1:2" ht="16.5" x14ac:dyDescent="0.2">
      <c r="A827" s="6" t="str">
        <f t="shared" si="12"/>
        <v>0</v>
      </c>
      <c r="B827" s="23" t="s">
        <v>104</v>
      </c>
    </row>
    <row r="828" spans="1:2" ht="16.5" x14ac:dyDescent="0.2">
      <c r="A828" s="6" t="str">
        <f t="shared" ref="A828:A891" si="13">LEN(G828)&amp;LEFT(G828,1)</f>
        <v>0</v>
      </c>
      <c r="B828" s="23" t="s">
        <v>104</v>
      </c>
    </row>
    <row r="829" spans="1:2" ht="16.5" x14ac:dyDescent="0.2">
      <c r="A829" s="6" t="str">
        <f t="shared" si="13"/>
        <v>0</v>
      </c>
      <c r="B829" s="23" t="s">
        <v>104</v>
      </c>
    </row>
    <row r="830" spans="1:2" ht="16.5" x14ac:dyDescent="0.2">
      <c r="A830" s="6" t="str">
        <f t="shared" si="13"/>
        <v>0</v>
      </c>
      <c r="B830" s="23" t="s">
        <v>104</v>
      </c>
    </row>
    <row r="831" spans="1:2" ht="16.5" x14ac:dyDescent="0.2">
      <c r="A831" s="6" t="str">
        <f t="shared" si="13"/>
        <v>0</v>
      </c>
      <c r="B831" s="23" t="s">
        <v>104</v>
      </c>
    </row>
    <row r="832" spans="1:2" ht="16.5" x14ac:dyDescent="0.2">
      <c r="A832" s="6" t="str">
        <f t="shared" si="13"/>
        <v>0</v>
      </c>
      <c r="B832" s="23" t="s">
        <v>104</v>
      </c>
    </row>
    <row r="833" spans="1:2" ht="16.5" x14ac:dyDescent="0.2">
      <c r="A833" s="6" t="str">
        <f t="shared" si="13"/>
        <v>0</v>
      </c>
      <c r="B833" s="23" t="s">
        <v>104</v>
      </c>
    </row>
    <row r="834" spans="1:2" ht="16.5" x14ac:dyDescent="0.2">
      <c r="A834" s="6" t="str">
        <f t="shared" si="13"/>
        <v>0</v>
      </c>
      <c r="B834" s="23" t="s">
        <v>104</v>
      </c>
    </row>
    <row r="835" spans="1:2" ht="16.5" x14ac:dyDescent="0.2">
      <c r="A835" s="6" t="str">
        <f t="shared" si="13"/>
        <v>0</v>
      </c>
      <c r="B835" s="23" t="s">
        <v>104</v>
      </c>
    </row>
    <row r="836" spans="1:2" ht="16.5" x14ac:dyDescent="0.2">
      <c r="A836" s="6" t="str">
        <f t="shared" si="13"/>
        <v>0</v>
      </c>
      <c r="B836" s="23" t="s">
        <v>104</v>
      </c>
    </row>
    <row r="837" spans="1:2" ht="16.5" x14ac:dyDescent="0.2">
      <c r="A837" s="6" t="str">
        <f t="shared" si="13"/>
        <v>0</v>
      </c>
      <c r="B837" s="23" t="s">
        <v>104</v>
      </c>
    </row>
    <row r="838" spans="1:2" ht="16.5" x14ac:dyDescent="0.2">
      <c r="A838" s="6" t="str">
        <f t="shared" si="13"/>
        <v>0</v>
      </c>
      <c r="B838" s="23" t="s">
        <v>104</v>
      </c>
    </row>
    <row r="839" spans="1:2" ht="16.5" x14ac:dyDescent="0.2">
      <c r="A839" s="6" t="str">
        <f t="shared" si="13"/>
        <v>0</v>
      </c>
      <c r="B839" s="23" t="s">
        <v>104</v>
      </c>
    </row>
    <row r="840" spans="1:2" ht="16.5" x14ac:dyDescent="0.2">
      <c r="A840" s="6" t="str">
        <f t="shared" si="13"/>
        <v>0</v>
      </c>
      <c r="B840" s="23" t="s">
        <v>104</v>
      </c>
    </row>
    <row r="841" spans="1:2" ht="16.5" x14ac:dyDescent="0.2">
      <c r="A841" s="6" t="str">
        <f t="shared" si="13"/>
        <v>0</v>
      </c>
      <c r="B841" s="23" t="s">
        <v>104</v>
      </c>
    </row>
    <row r="842" spans="1:2" ht="16.5" x14ac:dyDescent="0.2">
      <c r="A842" s="6" t="str">
        <f t="shared" si="13"/>
        <v>0</v>
      </c>
      <c r="B842" s="23" t="s">
        <v>104</v>
      </c>
    </row>
    <row r="843" spans="1:2" ht="16.5" x14ac:dyDescent="0.2">
      <c r="A843" s="6" t="str">
        <f t="shared" si="13"/>
        <v>0</v>
      </c>
      <c r="B843" s="23" t="s">
        <v>104</v>
      </c>
    </row>
    <row r="844" spans="1:2" ht="16.5" x14ac:dyDescent="0.2">
      <c r="A844" s="6" t="str">
        <f t="shared" si="13"/>
        <v>0</v>
      </c>
      <c r="B844" s="23" t="s">
        <v>104</v>
      </c>
    </row>
    <row r="845" spans="1:2" ht="16.5" x14ac:dyDescent="0.2">
      <c r="A845" s="6" t="str">
        <f t="shared" si="13"/>
        <v>0</v>
      </c>
      <c r="B845" s="23" t="s">
        <v>104</v>
      </c>
    </row>
    <row r="846" spans="1:2" ht="16.5" x14ac:dyDescent="0.2">
      <c r="A846" s="6" t="str">
        <f t="shared" si="13"/>
        <v>0</v>
      </c>
      <c r="B846" s="23" t="s">
        <v>104</v>
      </c>
    </row>
    <row r="847" spans="1:2" ht="16.5" x14ac:dyDescent="0.2">
      <c r="A847" s="6" t="str">
        <f t="shared" si="13"/>
        <v>0</v>
      </c>
      <c r="B847" s="23" t="s">
        <v>104</v>
      </c>
    </row>
    <row r="848" spans="1:2" ht="16.5" x14ac:dyDescent="0.2">
      <c r="A848" s="6" t="str">
        <f t="shared" si="13"/>
        <v>0</v>
      </c>
      <c r="B848" s="23" t="s">
        <v>104</v>
      </c>
    </row>
    <row r="849" spans="1:2" ht="16.5" x14ac:dyDescent="0.2">
      <c r="A849" s="6" t="str">
        <f t="shared" si="13"/>
        <v>0</v>
      </c>
      <c r="B849" s="23" t="s">
        <v>104</v>
      </c>
    </row>
    <row r="850" spans="1:2" ht="16.5" x14ac:dyDescent="0.2">
      <c r="A850" s="6" t="str">
        <f t="shared" si="13"/>
        <v>0</v>
      </c>
      <c r="B850" s="23" t="s">
        <v>104</v>
      </c>
    </row>
    <row r="851" spans="1:2" ht="16.5" x14ac:dyDescent="0.2">
      <c r="A851" s="6" t="str">
        <f t="shared" si="13"/>
        <v>0</v>
      </c>
      <c r="B851" s="23" t="s">
        <v>104</v>
      </c>
    </row>
    <row r="852" spans="1:2" ht="16.5" x14ac:dyDescent="0.2">
      <c r="A852" s="6" t="str">
        <f t="shared" si="13"/>
        <v>0</v>
      </c>
      <c r="B852" s="23" t="s">
        <v>104</v>
      </c>
    </row>
    <row r="853" spans="1:2" ht="16.5" x14ac:dyDescent="0.2">
      <c r="A853" s="6" t="str">
        <f t="shared" si="13"/>
        <v>0</v>
      </c>
      <c r="B853" s="23" t="s">
        <v>104</v>
      </c>
    </row>
    <row r="854" spans="1:2" ht="16.5" x14ac:dyDescent="0.2">
      <c r="A854" s="6" t="str">
        <f t="shared" si="13"/>
        <v>0</v>
      </c>
      <c r="B854" s="23" t="s">
        <v>104</v>
      </c>
    </row>
    <row r="855" spans="1:2" ht="16.5" x14ac:dyDescent="0.2">
      <c r="A855" s="6" t="str">
        <f t="shared" si="13"/>
        <v>0</v>
      </c>
      <c r="B855" s="23" t="s">
        <v>104</v>
      </c>
    </row>
    <row r="856" spans="1:2" ht="16.5" x14ac:dyDescent="0.2">
      <c r="A856" s="6" t="str">
        <f t="shared" si="13"/>
        <v>0</v>
      </c>
      <c r="B856" s="23" t="s">
        <v>104</v>
      </c>
    </row>
    <row r="857" spans="1:2" ht="16.5" x14ac:dyDescent="0.2">
      <c r="A857" s="6" t="str">
        <f t="shared" si="13"/>
        <v>0</v>
      </c>
      <c r="B857" s="23" t="s">
        <v>104</v>
      </c>
    </row>
    <row r="858" spans="1:2" ht="16.5" x14ac:dyDescent="0.2">
      <c r="A858" s="6" t="str">
        <f t="shared" si="13"/>
        <v>0</v>
      </c>
      <c r="B858" s="23" t="s">
        <v>104</v>
      </c>
    </row>
    <row r="859" spans="1:2" ht="16.5" x14ac:dyDescent="0.2">
      <c r="A859" s="6" t="str">
        <f t="shared" si="13"/>
        <v>0</v>
      </c>
      <c r="B859" s="23" t="s">
        <v>104</v>
      </c>
    </row>
    <row r="860" spans="1:2" ht="16.5" x14ac:dyDescent="0.2">
      <c r="A860" s="6" t="str">
        <f t="shared" si="13"/>
        <v>0</v>
      </c>
      <c r="B860" s="23" t="s">
        <v>104</v>
      </c>
    </row>
    <row r="861" spans="1:2" ht="16.5" x14ac:dyDescent="0.2">
      <c r="A861" s="6" t="str">
        <f t="shared" si="13"/>
        <v>0</v>
      </c>
      <c r="B861" s="23" t="s">
        <v>104</v>
      </c>
    </row>
    <row r="862" spans="1:2" ht="16.5" x14ac:dyDescent="0.2">
      <c r="A862" s="6" t="str">
        <f t="shared" si="13"/>
        <v>0</v>
      </c>
      <c r="B862" s="23" t="s">
        <v>104</v>
      </c>
    </row>
    <row r="863" spans="1:2" ht="16.5" x14ac:dyDescent="0.2">
      <c r="A863" s="6" t="str">
        <f t="shared" si="13"/>
        <v>0</v>
      </c>
      <c r="B863" s="23" t="s">
        <v>104</v>
      </c>
    </row>
    <row r="864" spans="1:2" ht="16.5" x14ac:dyDescent="0.2">
      <c r="A864" s="6" t="str">
        <f t="shared" si="13"/>
        <v>0</v>
      </c>
      <c r="B864" s="23" t="s">
        <v>104</v>
      </c>
    </row>
    <row r="865" spans="1:2" ht="16.5" x14ac:dyDescent="0.2">
      <c r="A865" s="6" t="str">
        <f t="shared" si="13"/>
        <v>0</v>
      </c>
      <c r="B865" s="23" t="s">
        <v>104</v>
      </c>
    </row>
    <row r="866" spans="1:2" ht="16.5" x14ac:dyDescent="0.2">
      <c r="A866" s="6" t="str">
        <f t="shared" si="13"/>
        <v>0</v>
      </c>
      <c r="B866" s="23" t="s">
        <v>104</v>
      </c>
    </row>
    <row r="867" spans="1:2" ht="16.5" x14ac:dyDescent="0.2">
      <c r="A867" s="6" t="str">
        <f t="shared" si="13"/>
        <v>0</v>
      </c>
      <c r="B867" s="23" t="s">
        <v>104</v>
      </c>
    </row>
    <row r="868" spans="1:2" ht="16.5" x14ac:dyDescent="0.2">
      <c r="A868" s="6" t="str">
        <f t="shared" si="13"/>
        <v>0</v>
      </c>
      <c r="B868" s="23" t="s">
        <v>104</v>
      </c>
    </row>
    <row r="869" spans="1:2" ht="16.5" x14ac:dyDescent="0.2">
      <c r="A869" s="6" t="str">
        <f t="shared" si="13"/>
        <v>0</v>
      </c>
      <c r="B869" s="23" t="s">
        <v>104</v>
      </c>
    </row>
    <row r="870" spans="1:2" ht="16.5" x14ac:dyDescent="0.2">
      <c r="A870" s="6" t="str">
        <f t="shared" si="13"/>
        <v>0</v>
      </c>
      <c r="B870" s="23" t="s">
        <v>104</v>
      </c>
    </row>
    <row r="871" spans="1:2" ht="16.5" x14ac:dyDescent="0.2">
      <c r="A871" s="6" t="str">
        <f t="shared" si="13"/>
        <v>0</v>
      </c>
      <c r="B871" s="23" t="s">
        <v>104</v>
      </c>
    </row>
    <row r="872" spans="1:2" ht="16.5" x14ac:dyDescent="0.2">
      <c r="A872" s="6" t="str">
        <f t="shared" si="13"/>
        <v>0</v>
      </c>
      <c r="B872" s="23" t="s">
        <v>104</v>
      </c>
    </row>
    <row r="873" spans="1:2" ht="16.5" x14ac:dyDescent="0.2">
      <c r="A873" s="6" t="str">
        <f t="shared" si="13"/>
        <v>0</v>
      </c>
      <c r="B873" s="23" t="s">
        <v>104</v>
      </c>
    </row>
    <row r="874" spans="1:2" ht="16.5" x14ac:dyDescent="0.2">
      <c r="A874" s="6" t="str">
        <f t="shared" si="13"/>
        <v>0</v>
      </c>
      <c r="B874" s="23" t="s">
        <v>104</v>
      </c>
    </row>
    <row r="875" spans="1:2" ht="16.5" x14ac:dyDescent="0.2">
      <c r="A875" s="6" t="str">
        <f t="shared" si="13"/>
        <v>0</v>
      </c>
      <c r="B875" s="23" t="s">
        <v>104</v>
      </c>
    </row>
    <row r="876" spans="1:2" ht="16.5" x14ac:dyDescent="0.2">
      <c r="A876" s="6" t="str">
        <f t="shared" si="13"/>
        <v>0</v>
      </c>
      <c r="B876" s="23" t="s">
        <v>104</v>
      </c>
    </row>
    <row r="877" spans="1:2" ht="16.5" x14ac:dyDescent="0.2">
      <c r="A877" s="6" t="str">
        <f t="shared" si="13"/>
        <v>0</v>
      </c>
      <c r="B877" s="23" t="s">
        <v>104</v>
      </c>
    </row>
    <row r="878" spans="1:2" ht="16.5" x14ac:dyDescent="0.2">
      <c r="A878" s="6" t="str">
        <f t="shared" si="13"/>
        <v>0</v>
      </c>
      <c r="B878" s="23" t="s">
        <v>104</v>
      </c>
    </row>
    <row r="879" spans="1:2" ht="16.5" x14ac:dyDescent="0.2">
      <c r="A879" s="6" t="str">
        <f t="shared" si="13"/>
        <v>0</v>
      </c>
      <c r="B879" s="23" t="s">
        <v>104</v>
      </c>
    </row>
    <row r="880" spans="1:2" ht="16.5" x14ac:dyDescent="0.2">
      <c r="A880" s="6" t="str">
        <f t="shared" si="13"/>
        <v>0</v>
      </c>
      <c r="B880" s="23" t="s">
        <v>104</v>
      </c>
    </row>
    <row r="881" spans="1:2" ht="16.5" x14ac:dyDescent="0.2">
      <c r="A881" s="6" t="str">
        <f t="shared" si="13"/>
        <v>0</v>
      </c>
      <c r="B881" s="23" t="s">
        <v>104</v>
      </c>
    </row>
    <row r="882" spans="1:2" ht="16.5" x14ac:dyDescent="0.2">
      <c r="A882" s="6" t="str">
        <f t="shared" si="13"/>
        <v>0</v>
      </c>
      <c r="B882" s="23" t="s">
        <v>104</v>
      </c>
    </row>
    <row r="883" spans="1:2" ht="16.5" x14ac:dyDescent="0.2">
      <c r="A883" s="6" t="str">
        <f t="shared" si="13"/>
        <v>0</v>
      </c>
      <c r="B883" s="23" t="s">
        <v>104</v>
      </c>
    </row>
    <row r="884" spans="1:2" ht="16.5" x14ac:dyDescent="0.2">
      <c r="A884" s="6" t="str">
        <f t="shared" si="13"/>
        <v>0</v>
      </c>
      <c r="B884" s="23" t="s">
        <v>104</v>
      </c>
    </row>
    <row r="885" spans="1:2" ht="16.5" x14ac:dyDescent="0.2">
      <c r="A885" s="6" t="str">
        <f t="shared" si="13"/>
        <v>0</v>
      </c>
      <c r="B885" s="23" t="s">
        <v>104</v>
      </c>
    </row>
    <row r="886" spans="1:2" ht="16.5" x14ac:dyDescent="0.2">
      <c r="A886" s="6" t="str">
        <f t="shared" si="13"/>
        <v>0</v>
      </c>
      <c r="B886" s="23" t="s">
        <v>104</v>
      </c>
    </row>
    <row r="887" spans="1:2" ht="16.5" x14ac:dyDescent="0.2">
      <c r="A887" s="6" t="str">
        <f t="shared" si="13"/>
        <v>0</v>
      </c>
      <c r="B887" s="23" t="s">
        <v>104</v>
      </c>
    </row>
    <row r="888" spans="1:2" ht="16.5" x14ac:dyDescent="0.2">
      <c r="A888" s="6" t="str">
        <f t="shared" si="13"/>
        <v>0</v>
      </c>
      <c r="B888" s="23" t="s">
        <v>104</v>
      </c>
    </row>
    <row r="889" spans="1:2" ht="16.5" x14ac:dyDescent="0.2">
      <c r="A889" s="6" t="str">
        <f t="shared" si="13"/>
        <v>0</v>
      </c>
      <c r="B889" s="23" t="s">
        <v>104</v>
      </c>
    </row>
    <row r="890" spans="1:2" ht="16.5" x14ac:dyDescent="0.2">
      <c r="A890" s="6" t="str">
        <f t="shared" si="13"/>
        <v>0</v>
      </c>
      <c r="B890" s="23" t="s">
        <v>104</v>
      </c>
    </row>
    <row r="891" spans="1:2" ht="16.5" x14ac:dyDescent="0.2">
      <c r="A891" s="6" t="str">
        <f t="shared" si="13"/>
        <v>0</v>
      </c>
      <c r="B891" s="23" t="s">
        <v>104</v>
      </c>
    </row>
    <row r="892" spans="1:2" ht="16.5" x14ac:dyDescent="0.2">
      <c r="A892" s="6" t="str">
        <f t="shared" ref="A892:A955" si="14">LEN(G892)&amp;LEFT(G892,1)</f>
        <v>0</v>
      </c>
      <c r="B892" s="23" t="s">
        <v>104</v>
      </c>
    </row>
    <row r="893" spans="1:2" ht="16.5" x14ac:dyDescent="0.2">
      <c r="A893" s="6" t="str">
        <f t="shared" si="14"/>
        <v>0</v>
      </c>
      <c r="B893" s="23" t="s">
        <v>104</v>
      </c>
    </row>
    <row r="894" spans="1:2" ht="16.5" x14ac:dyDescent="0.2">
      <c r="A894" s="6" t="str">
        <f t="shared" si="14"/>
        <v>0</v>
      </c>
      <c r="B894" s="23" t="s">
        <v>104</v>
      </c>
    </row>
    <row r="895" spans="1:2" ht="16.5" x14ac:dyDescent="0.2">
      <c r="A895" s="6" t="str">
        <f t="shared" si="14"/>
        <v>0</v>
      </c>
      <c r="B895" s="23" t="s">
        <v>104</v>
      </c>
    </row>
    <row r="896" spans="1:2" ht="16.5" x14ac:dyDescent="0.2">
      <c r="A896" s="6" t="str">
        <f t="shared" si="14"/>
        <v>0</v>
      </c>
      <c r="B896" s="23" t="s">
        <v>104</v>
      </c>
    </row>
    <row r="897" spans="1:2" ht="16.5" x14ac:dyDescent="0.2">
      <c r="A897" s="6" t="str">
        <f t="shared" si="14"/>
        <v>0</v>
      </c>
      <c r="B897" s="23" t="s">
        <v>104</v>
      </c>
    </row>
    <row r="898" spans="1:2" ht="16.5" x14ac:dyDescent="0.2">
      <c r="A898" s="6" t="str">
        <f t="shared" si="14"/>
        <v>0</v>
      </c>
      <c r="B898" s="23" t="s">
        <v>104</v>
      </c>
    </row>
    <row r="899" spans="1:2" ht="16.5" x14ac:dyDescent="0.2">
      <c r="A899" s="6" t="str">
        <f t="shared" si="14"/>
        <v>0</v>
      </c>
      <c r="B899" s="23" t="s">
        <v>104</v>
      </c>
    </row>
    <row r="900" spans="1:2" ht="16.5" x14ac:dyDescent="0.2">
      <c r="A900" s="6" t="str">
        <f t="shared" si="14"/>
        <v>0</v>
      </c>
      <c r="B900" s="23" t="s">
        <v>104</v>
      </c>
    </row>
    <row r="901" spans="1:2" ht="16.5" x14ac:dyDescent="0.2">
      <c r="A901" s="6" t="str">
        <f t="shared" si="14"/>
        <v>0</v>
      </c>
      <c r="B901" s="23" t="s">
        <v>104</v>
      </c>
    </row>
    <row r="902" spans="1:2" ht="16.5" x14ac:dyDescent="0.2">
      <c r="A902" s="6" t="str">
        <f t="shared" si="14"/>
        <v>0</v>
      </c>
      <c r="B902" s="23" t="s">
        <v>104</v>
      </c>
    </row>
    <row r="903" spans="1:2" ht="16.5" x14ac:dyDescent="0.2">
      <c r="A903" s="6" t="str">
        <f t="shared" si="14"/>
        <v>0</v>
      </c>
      <c r="B903" s="23" t="s">
        <v>104</v>
      </c>
    </row>
    <row r="904" spans="1:2" ht="16.5" x14ac:dyDescent="0.2">
      <c r="A904" s="6" t="str">
        <f t="shared" si="14"/>
        <v>0</v>
      </c>
      <c r="B904" s="23" t="s">
        <v>104</v>
      </c>
    </row>
    <row r="905" spans="1:2" ht="16.5" x14ac:dyDescent="0.2">
      <c r="A905" s="6" t="str">
        <f t="shared" si="14"/>
        <v>0</v>
      </c>
      <c r="B905" s="23" t="s">
        <v>104</v>
      </c>
    </row>
    <row r="906" spans="1:2" ht="16.5" x14ac:dyDescent="0.2">
      <c r="A906" s="6" t="str">
        <f t="shared" si="14"/>
        <v>0</v>
      </c>
      <c r="B906" s="23" t="s">
        <v>104</v>
      </c>
    </row>
    <row r="907" spans="1:2" ht="16.5" x14ac:dyDescent="0.2">
      <c r="A907" s="6" t="str">
        <f t="shared" si="14"/>
        <v>0</v>
      </c>
      <c r="B907" s="23" t="s">
        <v>104</v>
      </c>
    </row>
    <row r="908" spans="1:2" ht="16.5" x14ac:dyDescent="0.2">
      <c r="A908" s="6" t="str">
        <f t="shared" si="14"/>
        <v>0</v>
      </c>
      <c r="B908" s="23" t="s">
        <v>104</v>
      </c>
    </row>
    <row r="909" spans="1:2" ht="16.5" x14ac:dyDescent="0.2">
      <c r="A909" s="6" t="str">
        <f t="shared" si="14"/>
        <v>0</v>
      </c>
      <c r="B909" s="23" t="s">
        <v>104</v>
      </c>
    </row>
    <row r="910" spans="1:2" ht="16.5" x14ac:dyDescent="0.2">
      <c r="A910" s="6" t="str">
        <f t="shared" si="14"/>
        <v>0</v>
      </c>
      <c r="B910" s="23" t="s">
        <v>104</v>
      </c>
    </row>
    <row r="911" spans="1:2" ht="16.5" x14ac:dyDescent="0.2">
      <c r="A911" s="6" t="str">
        <f t="shared" si="14"/>
        <v>0</v>
      </c>
      <c r="B911" s="23" t="s">
        <v>104</v>
      </c>
    </row>
    <row r="912" spans="1:2" ht="16.5" x14ac:dyDescent="0.2">
      <c r="A912" s="6" t="str">
        <f t="shared" si="14"/>
        <v>0</v>
      </c>
      <c r="B912" s="23" t="s">
        <v>104</v>
      </c>
    </row>
    <row r="913" spans="1:2" ht="16.5" x14ac:dyDescent="0.2">
      <c r="A913" s="6" t="str">
        <f t="shared" si="14"/>
        <v>0</v>
      </c>
      <c r="B913" s="23" t="s">
        <v>104</v>
      </c>
    </row>
    <row r="914" spans="1:2" ht="16.5" x14ac:dyDescent="0.2">
      <c r="A914" s="6" t="str">
        <f t="shared" si="14"/>
        <v>0</v>
      </c>
      <c r="B914" s="23" t="s">
        <v>104</v>
      </c>
    </row>
    <row r="915" spans="1:2" ht="16.5" x14ac:dyDescent="0.2">
      <c r="A915" s="6" t="str">
        <f t="shared" si="14"/>
        <v>0</v>
      </c>
      <c r="B915" s="23" t="s">
        <v>104</v>
      </c>
    </row>
    <row r="916" spans="1:2" ht="16.5" x14ac:dyDescent="0.2">
      <c r="A916" s="6" t="str">
        <f t="shared" si="14"/>
        <v>0</v>
      </c>
      <c r="B916" s="23" t="s">
        <v>104</v>
      </c>
    </row>
    <row r="917" spans="1:2" ht="16.5" x14ac:dyDescent="0.2">
      <c r="A917" s="6" t="str">
        <f t="shared" si="14"/>
        <v>0</v>
      </c>
      <c r="B917" s="23" t="s">
        <v>104</v>
      </c>
    </row>
    <row r="918" spans="1:2" ht="16.5" x14ac:dyDescent="0.2">
      <c r="A918" s="6" t="str">
        <f t="shared" si="14"/>
        <v>0</v>
      </c>
      <c r="B918" s="23" t="s">
        <v>104</v>
      </c>
    </row>
    <row r="919" spans="1:2" ht="16.5" x14ac:dyDescent="0.2">
      <c r="A919" s="6" t="str">
        <f t="shared" si="14"/>
        <v>0</v>
      </c>
      <c r="B919" s="23" t="s">
        <v>104</v>
      </c>
    </row>
    <row r="920" spans="1:2" ht="16.5" x14ac:dyDescent="0.2">
      <c r="A920" s="6" t="str">
        <f t="shared" si="14"/>
        <v>0</v>
      </c>
      <c r="B920" s="23" t="s">
        <v>104</v>
      </c>
    </row>
    <row r="921" spans="1:2" ht="16.5" x14ac:dyDescent="0.2">
      <c r="A921" s="6" t="str">
        <f t="shared" si="14"/>
        <v>0</v>
      </c>
      <c r="B921" s="23" t="s">
        <v>104</v>
      </c>
    </row>
    <row r="922" spans="1:2" ht="16.5" x14ac:dyDescent="0.2">
      <c r="A922" s="6" t="str">
        <f t="shared" si="14"/>
        <v>0</v>
      </c>
      <c r="B922" s="23" t="s">
        <v>104</v>
      </c>
    </row>
    <row r="923" spans="1:2" ht="16.5" x14ac:dyDescent="0.2">
      <c r="A923" s="6" t="str">
        <f t="shared" si="14"/>
        <v>0</v>
      </c>
      <c r="B923" s="23" t="s">
        <v>104</v>
      </c>
    </row>
    <row r="924" spans="1:2" ht="16.5" x14ac:dyDescent="0.2">
      <c r="A924" s="6" t="str">
        <f t="shared" si="14"/>
        <v>0</v>
      </c>
      <c r="B924" s="23" t="s">
        <v>104</v>
      </c>
    </row>
    <row r="925" spans="1:2" ht="16.5" x14ac:dyDescent="0.2">
      <c r="A925" s="6" t="str">
        <f t="shared" si="14"/>
        <v>0</v>
      </c>
      <c r="B925" s="23" t="s">
        <v>104</v>
      </c>
    </row>
    <row r="926" spans="1:2" ht="16.5" x14ac:dyDescent="0.2">
      <c r="A926" s="6" t="str">
        <f t="shared" si="14"/>
        <v>0</v>
      </c>
      <c r="B926" s="23" t="s">
        <v>104</v>
      </c>
    </row>
    <row r="927" spans="1:2" ht="16.5" x14ac:dyDescent="0.2">
      <c r="A927" s="6" t="str">
        <f t="shared" si="14"/>
        <v>0</v>
      </c>
      <c r="B927" s="23" t="s">
        <v>104</v>
      </c>
    </row>
    <row r="928" spans="1:2" ht="16.5" x14ac:dyDescent="0.2">
      <c r="A928" s="6" t="str">
        <f t="shared" si="14"/>
        <v>0</v>
      </c>
      <c r="B928" s="23" t="s">
        <v>104</v>
      </c>
    </row>
    <row r="929" spans="1:2" ht="16.5" x14ac:dyDescent="0.2">
      <c r="A929" s="6" t="str">
        <f t="shared" si="14"/>
        <v>0</v>
      </c>
      <c r="B929" s="23" t="s">
        <v>104</v>
      </c>
    </row>
    <row r="930" spans="1:2" ht="16.5" x14ac:dyDescent="0.2">
      <c r="A930" s="6" t="str">
        <f t="shared" si="14"/>
        <v>0</v>
      </c>
      <c r="B930" s="23" t="s">
        <v>104</v>
      </c>
    </row>
    <row r="931" spans="1:2" ht="16.5" x14ac:dyDescent="0.2">
      <c r="A931" s="6" t="str">
        <f t="shared" si="14"/>
        <v>0</v>
      </c>
      <c r="B931" s="23" t="s">
        <v>104</v>
      </c>
    </row>
    <row r="932" spans="1:2" ht="16.5" x14ac:dyDescent="0.2">
      <c r="A932" s="6" t="str">
        <f t="shared" si="14"/>
        <v>0</v>
      </c>
      <c r="B932" s="23" t="s">
        <v>104</v>
      </c>
    </row>
    <row r="933" spans="1:2" ht="16.5" x14ac:dyDescent="0.2">
      <c r="A933" s="6" t="str">
        <f t="shared" si="14"/>
        <v>0</v>
      </c>
      <c r="B933" s="23" t="s">
        <v>104</v>
      </c>
    </row>
    <row r="934" spans="1:2" ht="16.5" x14ac:dyDescent="0.2">
      <c r="A934" s="6" t="str">
        <f t="shared" si="14"/>
        <v>0</v>
      </c>
      <c r="B934" s="23" t="s">
        <v>104</v>
      </c>
    </row>
    <row r="935" spans="1:2" ht="16.5" x14ac:dyDescent="0.2">
      <c r="A935" s="6" t="str">
        <f t="shared" si="14"/>
        <v>0</v>
      </c>
      <c r="B935" s="23" t="s">
        <v>104</v>
      </c>
    </row>
    <row r="936" spans="1:2" ht="16.5" x14ac:dyDescent="0.2">
      <c r="A936" s="6" t="str">
        <f t="shared" si="14"/>
        <v>0</v>
      </c>
      <c r="B936" s="23" t="s">
        <v>104</v>
      </c>
    </row>
    <row r="937" spans="1:2" ht="16.5" x14ac:dyDescent="0.2">
      <c r="A937" s="6" t="str">
        <f t="shared" si="14"/>
        <v>0</v>
      </c>
      <c r="B937" s="23" t="s">
        <v>104</v>
      </c>
    </row>
    <row r="938" spans="1:2" ht="16.5" x14ac:dyDescent="0.2">
      <c r="A938" s="6" t="str">
        <f t="shared" si="14"/>
        <v>0</v>
      </c>
      <c r="B938" s="23" t="s">
        <v>104</v>
      </c>
    </row>
    <row r="939" spans="1:2" ht="16.5" x14ac:dyDescent="0.2">
      <c r="A939" s="6" t="str">
        <f t="shared" si="14"/>
        <v>0</v>
      </c>
      <c r="B939" s="23" t="s">
        <v>104</v>
      </c>
    </row>
    <row r="940" spans="1:2" ht="16.5" x14ac:dyDescent="0.2">
      <c r="A940" s="6" t="str">
        <f t="shared" si="14"/>
        <v>0</v>
      </c>
      <c r="B940" s="23" t="s">
        <v>104</v>
      </c>
    </row>
    <row r="941" spans="1:2" ht="16.5" x14ac:dyDescent="0.2">
      <c r="A941" s="6" t="str">
        <f t="shared" si="14"/>
        <v>0</v>
      </c>
      <c r="B941" s="23" t="s">
        <v>104</v>
      </c>
    </row>
    <row r="942" spans="1:2" ht="16.5" x14ac:dyDescent="0.2">
      <c r="A942" s="6" t="str">
        <f t="shared" si="14"/>
        <v>0</v>
      </c>
      <c r="B942" s="23" t="s">
        <v>104</v>
      </c>
    </row>
    <row r="943" spans="1:2" ht="16.5" x14ac:dyDescent="0.2">
      <c r="A943" s="6" t="str">
        <f t="shared" si="14"/>
        <v>0</v>
      </c>
      <c r="B943" s="23" t="s">
        <v>104</v>
      </c>
    </row>
    <row r="944" spans="1:2" ht="16.5" x14ac:dyDescent="0.2">
      <c r="A944" s="6" t="str">
        <f t="shared" si="14"/>
        <v>0</v>
      </c>
      <c r="B944" s="23" t="s">
        <v>104</v>
      </c>
    </row>
    <row r="945" spans="1:2" ht="16.5" x14ac:dyDescent="0.2">
      <c r="A945" s="6" t="str">
        <f t="shared" si="14"/>
        <v>0</v>
      </c>
      <c r="B945" s="23" t="s">
        <v>104</v>
      </c>
    </row>
    <row r="946" spans="1:2" ht="16.5" x14ac:dyDescent="0.2">
      <c r="A946" s="6" t="str">
        <f t="shared" si="14"/>
        <v>0</v>
      </c>
      <c r="B946" s="23" t="s">
        <v>104</v>
      </c>
    </row>
    <row r="947" spans="1:2" ht="16.5" x14ac:dyDescent="0.2">
      <c r="A947" s="6" t="str">
        <f t="shared" si="14"/>
        <v>0</v>
      </c>
      <c r="B947" s="23" t="s">
        <v>104</v>
      </c>
    </row>
    <row r="948" spans="1:2" ht="16.5" x14ac:dyDescent="0.2">
      <c r="A948" s="6" t="str">
        <f t="shared" si="14"/>
        <v>0</v>
      </c>
      <c r="B948" s="23" t="s">
        <v>104</v>
      </c>
    </row>
    <row r="949" spans="1:2" ht="16.5" x14ac:dyDescent="0.2">
      <c r="A949" s="6" t="str">
        <f t="shared" si="14"/>
        <v>0</v>
      </c>
      <c r="B949" s="23" t="s">
        <v>104</v>
      </c>
    </row>
    <row r="950" spans="1:2" ht="16.5" x14ac:dyDescent="0.2">
      <c r="A950" s="6" t="str">
        <f t="shared" si="14"/>
        <v>0</v>
      </c>
      <c r="B950" s="23" t="s">
        <v>104</v>
      </c>
    </row>
    <row r="951" spans="1:2" ht="16.5" x14ac:dyDescent="0.2">
      <c r="A951" s="6" t="str">
        <f t="shared" si="14"/>
        <v>0</v>
      </c>
      <c r="B951" s="23" t="s">
        <v>104</v>
      </c>
    </row>
    <row r="952" spans="1:2" ht="16.5" x14ac:dyDescent="0.2">
      <c r="A952" s="6" t="str">
        <f t="shared" si="14"/>
        <v>0</v>
      </c>
      <c r="B952" s="23" t="s">
        <v>104</v>
      </c>
    </row>
    <row r="953" spans="1:2" ht="16.5" x14ac:dyDescent="0.2">
      <c r="A953" s="6" t="str">
        <f t="shared" si="14"/>
        <v>0</v>
      </c>
      <c r="B953" s="23" t="s">
        <v>104</v>
      </c>
    </row>
    <row r="954" spans="1:2" ht="16.5" x14ac:dyDescent="0.2">
      <c r="A954" s="6" t="str">
        <f t="shared" si="14"/>
        <v>0</v>
      </c>
      <c r="B954" s="23" t="s">
        <v>104</v>
      </c>
    </row>
    <row r="955" spans="1:2" ht="16.5" x14ac:dyDescent="0.2">
      <c r="A955" s="6" t="str">
        <f t="shared" si="14"/>
        <v>0</v>
      </c>
      <c r="B955" s="23" t="s">
        <v>104</v>
      </c>
    </row>
    <row r="956" spans="1:2" ht="16.5" x14ac:dyDescent="0.2">
      <c r="A956" s="6" t="str">
        <f t="shared" ref="A956:A993" si="15">LEN(G956)&amp;LEFT(G956,1)</f>
        <v>0</v>
      </c>
      <c r="B956" s="23" t="s">
        <v>104</v>
      </c>
    </row>
    <row r="957" spans="1:2" ht="16.5" x14ac:dyDescent="0.2">
      <c r="A957" s="6" t="str">
        <f t="shared" si="15"/>
        <v>0</v>
      </c>
      <c r="B957" s="23" t="s">
        <v>104</v>
      </c>
    </row>
    <row r="958" spans="1:2" ht="16.5" x14ac:dyDescent="0.2">
      <c r="A958" s="6" t="str">
        <f t="shared" si="15"/>
        <v>0</v>
      </c>
      <c r="B958" s="23" t="s">
        <v>104</v>
      </c>
    </row>
    <row r="959" spans="1:2" ht="16.5" x14ac:dyDescent="0.2">
      <c r="A959" s="6" t="str">
        <f t="shared" si="15"/>
        <v>0</v>
      </c>
      <c r="B959" s="23" t="s">
        <v>104</v>
      </c>
    </row>
    <row r="960" spans="1:2" ht="16.5" x14ac:dyDescent="0.2">
      <c r="A960" s="6" t="str">
        <f t="shared" si="15"/>
        <v>0</v>
      </c>
      <c r="B960" s="23" t="s">
        <v>104</v>
      </c>
    </row>
    <row r="961" spans="1:2" ht="16.5" x14ac:dyDescent="0.2">
      <c r="A961" s="6" t="str">
        <f t="shared" si="15"/>
        <v>0</v>
      </c>
      <c r="B961" s="23" t="s">
        <v>104</v>
      </c>
    </row>
    <row r="962" spans="1:2" ht="16.5" x14ac:dyDescent="0.2">
      <c r="A962" s="6" t="str">
        <f t="shared" si="15"/>
        <v>0</v>
      </c>
      <c r="B962" s="23" t="s">
        <v>104</v>
      </c>
    </row>
    <row r="963" spans="1:2" ht="16.5" x14ac:dyDescent="0.2">
      <c r="A963" s="6" t="str">
        <f t="shared" si="15"/>
        <v>0</v>
      </c>
      <c r="B963" s="23" t="s">
        <v>104</v>
      </c>
    </row>
    <row r="964" spans="1:2" ht="16.5" x14ac:dyDescent="0.2">
      <c r="A964" s="6" t="str">
        <f t="shared" si="15"/>
        <v>0</v>
      </c>
      <c r="B964" s="23" t="s">
        <v>104</v>
      </c>
    </row>
    <row r="965" spans="1:2" ht="16.5" x14ac:dyDescent="0.2">
      <c r="A965" s="6" t="str">
        <f t="shared" si="15"/>
        <v>0</v>
      </c>
      <c r="B965" s="23" t="s">
        <v>104</v>
      </c>
    </row>
    <row r="966" spans="1:2" ht="16.5" x14ac:dyDescent="0.2">
      <c r="A966" s="6" t="str">
        <f t="shared" si="15"/>
        <v>0</v>
      </c>
      <c r="B966" s="23" t="s">
        <v>104</v>
      </c>
    </row>
    <row r="967" spans="1:2" ht="16.5" x14ac:dyDescent="0.2">
      <c r="A967" s="6" t="str">
        <f t="shared" si="15"/>
        <v>0</v>
      </c>
      <c r="B967" s="23" t="s">
        <v>104</v>
      </c>
    </row>
    <row r="968" spans="1:2" ht="16.5" x14ac:dyDescent="0.2">
      <c r="A968" s="6" t="str">
        <f t="shared" si="15"/>
        <v>0</v>
      </c>
      <c r="B968" s="23" t="s">
        <v>104</v>
      </c>
    </row>
    <row r="969" spans="1:2" ht="16.5" x14ac:dyDescent="0.2">
      <c r="A969" s="6" t="str">
        <f t="shared" si="15"/>
        <v>0</v>
      </c>
      <c r="B969" s="23" t="s">
        <v>104</v>
      </c>
    </row>
    <row r="970" spans="1:2" ht="16.5" x14ac:dyDescent="0.2">
      <c r="A970" s="6" t="str">
        <f t="shared" si="15"/>
        <v>0</v>
      </c>
      <c r="B970" s="23" t="s">
        <v>104</v>
      </c>
    </row>
    <row r="971" spans="1:2" ht="16.5" x14ac:dyDescent="0.2">
      <c r="A971" s="6" t="str">
        <f t="shared" si="15"/>
        <v>0</v>
      </c>
      <c r="B971" s="23" t="s">
        <v>104</v>
      </c>
    </row>
    <row r="972" spans="1:2" ht="16.5" x14ac:dyDescent="0.2">
      <c r="A972" s="6" t="str">
        <f t="shared" si="15"/>
        <v>0</v>
      </c>
      <c r="B972" s="23" t="s">
        <v>104</v>
      </c>
    </row>
    <row r="973" spans="1:2" ht="16.5" x14ac:dyDescent="0.2">
      <c r="A973" s="6" t="str">
        <f t="shared" si="15"/>
        <v>0</v>
      </c>
      <c r="B973" s="23" t="s">
        <v>104</v>
      </c>
    </row>
    <row r="974" spans="1:2" ht="16.5" x14ac:dyDescent="0.2">
      <c r="A974" s="6" t="str">
        <f t="shared" si="15"/>
        <v>0</v>
      </c>
      <c r="B974" s="23" t="s">
        <v>104</v>
      </c>
    </row>
    <row r="975" spans="1:2" ht="16.5" x14ac:dyDescent="0.2">
      <c r="A975" s="6" t="str">
        <f t="shared" si="15"/>
        <v>0</v>
      </c>
      <c r="B975" s="23" t="s">
        <v>104</v>
      </c>
    </row>
    <row r="976" spans="1:2" ht="16.5" x14ac:dyDescent="0.2">
      <c r="A976" s="6" t="str">
        <f t="shared" si="15"/>
        <v>0</v>
      </c>
      <c r="B976" s="23" t="s">
        <v>104</v>
      </c>
    </row>
    <row r="977" spans="1:2" ht="16.5" x14ac:dyDescent="0.2">
      <c r="A977" s="6" t="str">
        <f t="shared" si="15"/>
        <v>0</v>
      </c>
      <c r="B977" s="23" t="s">
        <v>104</v>
      </c>
    </row>
    <row r="978" spans="1:2" ht="16.5" x14ac:dyDescent="0.2">
      <c r="A978" s="6" t="str">
        <f t="shared" si="15"/>
        <v>0</v>
      </c>
      <c r="B978" s="23" t="s">
        <v>104</v>
      </c>
    </row>
    <row r="979" spans="1:2" ht="16.5" x14ac:dyDescent="0.2">
      <c r="A979" s="6" t="str">
        <f t="shared" si="15"/>
        <v>0</v>
      </c>
      <c r="B979" s="23" t="s">
        <v>104</v>
      </c>
    </row>
    <row r="980" spans="1:2" ht="16.5" x14ac:dyDescent="0.2">
      <c r="A980" s="6" t="str">
        <f t="shared" si="15"/>
        <v>0</v>
      </c>
      <c r="B980" s="23" t="s">
        <v>104</v>
      </c>
    </row>
    <row r="981" spans="1:2" ht="16.5" x14ac:dyDescent="0.2">
      <c r="A981" s="6" t="str">
        <f t="shared" si="15"/>
        <v>0</v>
      </c>
      <c r="B981" s="23" t="s">
        <v>104</v>
      </c>
    </row>
    <row r="982" spans="1:2" ht="16.5" x14ac:dyDescent="0.2">
      <c r="A982" s="6" t="str">
        <f t="shared" si="15"/>
        <v>0</v>
      </c>
      <c r="B982" s="23" t="s">
        <v>104</v>
      </c>
    </row>
    <row r="983" spans="1:2" ht="16.5" x14ac:dyDescent="0.2">
      <c r="A983" s="6" t="str">
        <f t="shared" si="15"/>
        <v>0</v>
      </c>
      <c r="B983" s="23" t="s">
        <v>104</v>
      </c>
    </row>
    <row r="984" spans="1:2" ht="16.5" x14ac:dyDescent="0.2">
      <c r="A984" s="6" t="str">
        <f t="shared" si="15"/>
        <v>0</v>
      </c>
      <c r="B984" s="23" t="s">
        <v>104</v>
      </c>
    </row>
    <row r="985" spans="1:2" ht="16.5" x14ac:dyDescent="0.2">
      <c r="A985" s="6" t="str">
        <f t="shared" si="15"/>
        <v>0</v>
      </c>
      <c r="B985" s="23" t="s">
        <v>104</v>
      </c>
    </row>
    <row r="986" spans="1:2" ht="16.5" x14ac:dyDescent="0.2">
      <c r="A986" s="6" t="str">
        <f t="shared" si="15"/>
        <v>0</v>
      </c>
      <c r="B986" s="23" t="s">
        <v>104</v>
      </c>
    </row>
    <row r="987" spans="1:2" ht="16.5" x14ac:dyDescent="0.2">
      <c r="A987" s="6" t="str">
        <f t="shared" si="15"/>
        <v>0</v>
      </c>
      <c r="B987" s="23" t="s">
        <v>104</v>
      </c>
    </row>
    <row r="988" spans="1:2" ht="16.5" x14ac:dyDescent="0.2">
      <c r="A988" s="6" t="str">
        <f t="shared" si="15"/>
        <v>0</v>
      </c>
      <c r="B988" s="23" t="s">
        <v>104</v>
      </c>
    </row>
    <row r="989" spans="1:2" ht="16.5" x14ac:dyDescent="0.2">
      <c r="A989" s="6" t="str">
        <f t="shared" si="15"/>
        <v>0</v>
      </c>
      <c r="B989" s="23" t="s">
        <v>104</v>
      </c>
    </row>
    <row r="990" spans="1:2" ht="16.5" x14ac:dyDescent="0.2">
      <c r="A990" s="6" t="str">
        <f t="shared" si="15"/>
        <v>0</v>
      </c>
      <c r="B990" s="23" t="s">
        <v>104</v>
      </c>
    </row>
    <row r="991" spans="1:2" ht="16.5" x14ac:dyDescent="0.2">
      <c r="A991" s="6" t="str">
        <f t="shared" si="15"/>
        <v>0</v>
      </c>
      <c r="B991" s="23" t="s">
        <v>104</v>
      </c>
    </row>
    <row r="992" spans="1:2" ht="16.5" x14ac:dyDescent="0.2">
      <c r="A992" s="6" t="str">
        <f t="shared" si="15"/>
        <v>0</v>
      </c>
      <c r="B992" s="23" t="s">
        <v>104</v>
      </c>
    </row>
    <row r="993" spans="1:2" ht="16.5" x14ac:dyDescent="0.2">
      <c r="A993" s="6" t="str">
        <f t="shared" si="15"/>
        <v>0</v>
      </c>
      <c r="B993" s="23" t="s">
        <v>104</v>
      </c>
    </row>
    <row r="995" spans="1:2" x14ac:dyDescent="0.2">
      <c r="A995" s="25">
        <v>61</v>
      </c>
    </row>
    <row r="996" spans="1:2" x14ac:dyDescent="0.2">
      <c r="A996" s="25">
        <v>62</v>
      </c>
    </row>
    <row r="997" spans="1:2" x14ac:dyDescent="0.2">
      <c r="A997" s="25">
        <v>63</v>
      </c>
    </row>
    <row r="998" spans="1:2" x14ac:dyDescent="0.2">
      <c r="A998" s="25">
        <v>64</v>
      </c>
    </row>
    <row r="999" spans="1:2" x14ac:dyDescent="0.2">
      <c r="A999" s="25">
        <v>65</v>
      </c>
    </row>
    <row r="1000" spans="1:2" x14ac:dyDescent="0.2">
      <c r="A1000" s="25">
        <v>71</v>
      </c>
    </row>
    <row r="1002" spans="1:2" x14ac:dyDescent="0.2">
      <c r="A1002" s="24" t="s">
        <v>105</v>
      </c>
    </row>
    <row r="1003" spans="1:2" x14ac:dyDescent="0.2">
      <c r="A1003" s="24" t="s">
        <v>106</v>
      </c>
    </row>
    <row r="1004" spans="1:2" x14ac:dyDescent="0.2">
      <c r="A1004" s="24" t="s">
        <v>107</v>
      </c>
    </row>
    <row r="1005" spans="1:2" x14ac:dyDescent="0.2">
      <c r="A1005" s="24" t="s">
        <v>108</v>
      </c>
    </row>
    <row r="1006" spans="1:2" x14ac:dyDescent="0.2">
      <c r="A1006" s="24" t="s">
        <v>109</v>
      </c>
    </row>
    <row r="1007" spans="1:2" x14ac:dyDescent="0.2">
      <c r="A1007" s="24" t="s">
        <v>110</v>
      </c>
    </row>
  </sheetData>
  <autoFilter ref="A1:BM1" xr:uid="{174E734C-CE8D-40C0-8639-A6CAA37ACF77}">
    <sortState xmlns:xlrd2="http://schemas.microsoft.com/office/spreadsheetml/2017/richdata2" ref="A2:BM993">
      <sortCondition ref="G1"/>
    </sortState>
  </autoFilter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D87F-8293-4755-BE20-06AFE313D1F7}">
  <dimension ref="A1:N15"/>
  <sheetViews>
    <sheetView workbookViewId="0">
      <pane ySplit="1" topLeftCell="A2" activePane="bottomLeft" state="frozen"/>
      <selection pane="bottomLeft" activeCell="H12" sqref="H12"/>
    </sheetView>
  </sheetViews>
  <sheetFormatPr defaultRowHeight="12.75" x14ac:dyDescent="0.2"/>
  <cols>
    <col min="1" max="1" width="11.140625" style="12" bestFit="1" customWidth="1"/>
    <col min="2" max="2" width="8.85546875" style="12" bestFit="1" customWidth="1"/>
    <col min="3" max="3" width="23.5703125" style="12" customWidth="1"/>
    <col min="4" max="4" width="7.7109375" style="12" bestFit="1" customWidth="1"/>
    <col min="5" max="6" width="8.7109375" style="12" bestFit="1" customWidth="1"/>
    <col min="7" max="7" width="48.85546875" style="12" bestFit="1" customWidth="1"/>
    <col min="8" max="8" width="17.7109375" style="12" bestFit="1" customWidth="1"/>
    <col min="9" max="9" width="5.42578125" style="16" hidden="1" customWidth="1"/>
    <col min="10" max="10" width="9.140625" style="16"/>
    <col min="11" max="16384" width="9.140625" style="7"/>
  </cols>
  <sheetData>
    <row r="1" spans="1:14" ht="24" x14ac:dyDescent="0.2">
      <c r="A1" s="10" t="s">
        <v>63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  <c r="G1" s="10" t="s">
        <v>60</v>
      </c>
      <c r="H1" s="10" t="s">
        <v>62</v>
      </c>
      <c r="J1" s="15" t="s">
        <v>99</v>
      </c>
    </row>
    <row r="2" spans="1:14" hidden="1" x14ac:dyDescent="0.2">
      <c r="A2" s="8" t="s">
        <v>94</v>
      </c>
      <c r="B2" s="7" t="s">
        <v>96</v>
      </c>
      <c r="C2" s="13"/>
      <c r="D2" s="10"/>
      <c r="E2" s="10"/>
      <c r="F2" s="10"/>
      <c r="G2" s="10"/>
      <c r="H2" s="10"/>
      <c r="I2" s="15"/>
    </row>
    <row r="3" spans="1:14" hidden="1" x14ac:dyDescent="0.2">
      <c r="A3" s="13"/>
      <c r="B3" s="13"/>
      <c r="C3" s="13"/>
      <c r="D3" s="10"/>
      <c r="E3" s="10"/>
      <c r="F3" s="10"/>
      <c r="G3" s="10"/>
      <c r="H3" s="10"/>
      <c r="I3" s="15"/>
    </row>
    <row r="4" spans="1:14" hidden="1" x14ac:dyDescent="0.2">
      <c r="A4" s="11" t="s">
        <v>98</v>
      </c>
      <c r="J4" s="19"/>
      <c r="K4"/>
      <c r="L4"/>
      <c r="M4"/>
      <c r="N4"/>
    </row>
    <row r="5" spans="1:14" hidden="1" x14ac:dyDescent="0.2">
      <c r="A5" s="11" t="s">
        <v>4</v>
      </c>
      <c r="B5" s="11" t="s">
        <v>5</v>
      </c>
      <c r="C5" s="11" t="s">
        <v>6</v>
      </c>
      <c r="D5" s="11" t="s">
        <v>30</v>
      </c>
      <c r="E5" s="11" t="s">
        <v>45</v>
      </c>
      <c r="F5" s="11" t="s">
        <v>10</v>
      </c>
      <c r="G5" s="11" t="s">
        <v>7</v>
      </c>
      <c r="H5" s="11" t="s">
        <v>15</v>
      </c>
      <c r="I5" s="7" t="s">
        <v>97</v>
      </c>
      <c r="J5" s="19"/>
      <c r="K5"/>
      <c r="L5"/>
      <c r="M5"/>
      <c r="N5"/>
    </row>
    <row r="6" spans="1:14" x14ac:dyDescent="0.2">
      <c r="A6" s="7" t="s">
        <v>218</v>
      </c>
      <c r="B6" s="7" t="s">
        <v>93</v>
      </c>
      <c r="C6" s="7" t="s">
        <v>219</v>
      </c>
      <c r="D6" s="7" t="s">
        <v>111</v>
      </c>
      <c r="E6" s="7" t="s">
        <v>198</v>
      </c>
      <c r="F6" s="7" t="s">
        <v>221</v>
      </c>
      <c r="G6" s="7" t="s">
        <v>220</v>
      </c>
      <c r="H6" s="7" t="s">
        <v>226</v>
      </c>
      <c r="I6" s="18">
        <v>1</v>
      </c>
      <c r="J6" s="19">
        <v>26</v>
      </c>
      <c r="K6"/>
      <c r="L6"/>
      <c r="M6"/>
      <c r="N6"/>
    </row>
    <row r="7" spans="1:14" x14ac:dyDescent="0.2">
      <c r="A7"/>
      <c r="B7"/>
      <c r="C7"/>
      <c r="D7"/>
      <c r="E7"/>
      <c r="F7"/>
      <c r="G7"/>
      <c r="H7"/>
      <c r="I7"/>
      <c r="J7" s="19"/>
      <c r="K7"/>
      <c r="L7"/>
      <c r="M7"/>
      <c r="N7"/>
    </row>
    <row r="8" spans="1:14" x14ac:dyDescent="0.2">
      <c r="A8"/>
      <c r="B8"/>
      <c r="C8"/>
      <c r="D8"/>
      <c r="E8"/>
      <c r="F8"/>
      <c r="G8"/>
      <c r="H8"/>
      <c r="I8"/>
      <c r="J8" s="19"/>
      <c r="K8"/>
      <c r="L8"/>
      <c r="M8"/>
      <c r="N8"/>
    </row>
    <row r="9" spans="1:14" x14ac:dyDescent="0.2">
      <c r="A9"/>
      <c r="B9"/>
      <c r="C9"/>
      <c r="D9"/>
      <c r="E9"/>
      <c r="F9"/>
      <c r="G9"/>
      <c r="H9"/>
      <c r="I9"/>
      <c r="J9" s="19"/>
      <c r="K9"/>
      <c r="L9"/>
      <c r="M9"/>
      <c r="N9"/>
    </row>
    <row r="10" spans="1:14" x14ac:dyDescent="0.2">
      <c r="A10"/>
      <c r="B10"/>
      <c r="C10"/>
      <c r="D10"/>
      <c r="E10"/>
      <c r="F10"/>
      <c r="G10"/>
      <c r="H10"/>
      <c r="I10"/>
      <c r="J10" s="19"/>
      <c r="K10"/>
      <c r="L10"/>
      <c r="M10"/>
      <c r="N10"/>
    </row>
    <row r="11" spans="1:14" x14ac:dyDescent="0.2">
      <c r="A11"/>
      <c r="B11"/>
      <c r="C11"/>
      <c r="D11"/>
      <c r="E11"/>
      <c r="F11"/>
      <c r="G11"/>
      <c r="H11"/>
      <c r="I11"/>
      <c r="J11" s="19"/>
      <c r="K11"/>
      <c r="L11"/>
      <c r="M11"/>
      <c r="N11"/>
    </row>
    <row r="12" spans="1:14" x14ac:dyDescent="0.2">
      <c r="A12"/>
      <c r="B12"/>
      <c r="C12"/>
      <c r="D12"/>
      <c r="E12"/>
      <c r="F12"/>
      <c r="G12"/>
      <c r="H12"/>
      <c r="I12"/>
      <c r="J12" s="19"/>
      <c r="K12"/>
      <c r="L12"/>
      <c r="M12"/>
      <c r="N12"/>
    </row>
    <row r="13" spans="1:14" x14ac:dyDescent="0.2">
      <c r="A13"/>
      <c r="B13"/>
      <c r="C13"/>
      <c r="D13"/>
      <c r="E13"/>
      <c r="F13"/>
      <c r="G13"/>
      <c r="H13"/>
      <c r="I13"/>
      <c r="J13" s="19"/>
      <c r="K13"/>
      <c r="L13"/>
      <c r="M13"/>
      <c r="N13"/>
    </row>
    <row r="14" spans="1:14" x14ac:dyDescent="0.2">
      <c r="A14"/>
      <c r="B14"/>
      <c r="C14"/>
      <c r="D14"/>
      <c r="E14"/>
      <c r="F14"/>
      <c r="G14"/>
      <c r="H14"/>
      <c r="I14"/>
      <c r="J14" s="19"/>
      <c r="K14"/>
      <c r="L14"/>
      <c r="M14"/>
      <c r="N14"/>
    </row>
    <row r="15" spans="1:14" x14ac:dyDescent="0.2">
      <c r="A15" s="14"/>
      <c r="B15" s="14"/>
      <c r="C15" s="14"/>
      <c r="D15" s="14"/>
      <c r="E15" s="14"/>
      <c r="F15" s="14"/>
      <c r="G15" s="14"/>
      <c r="H15" s="14"/>
      <c r="I15" s="17"/>
      <c r="J15" s="17"/>
      <c r="K15" s="9"/>
      <c r="L15" s="9"/>
      <c r="M15" s="9"/>
      <c r="N15" s="9"/>
    </row>
  </sheetData>
  <sheetProtection formatCells="0" formatColumns="0" formatRows="0" selectLockedCells="1" sort="0" autoFilter="0" pivotTables="0"/>
  <phoneticPr fontId="2" type="noConversion"/>
  <dataValidations count="1">
    <dataValidation type="whole" allowBlank="1" showInputMessage="1" showErrorMessage="1" error="必须输大于0的整数" sqref="J1:J1048576" xr:uid="{7D3F454A-D109-4D44-9880-02BE5B31629D}">
      <formula1>0</formula1>
      <formula2>9.99999999999999E+23</formula2>
    </dataValidation>
  </dataValidation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CA74D-EB44-4050-A2A4-E593C79EF2ED}">
  <dimension ref="A1:L15"/>
  <sheetViews>
    <sheetView topLeftCell="H1" workbookViewId="0">
      <pane ySplit="1" topLeftCell="A2" activePane="bottomLeft" state="frozen"/>
      <selection pane="bottomLeft" activeCell="M10" sqref="M10"/>
    </sheetView>
  </sheetViews>
  <sheetFormatPr defaultRowHeight="12.75" x14ac:dyDescent="0.2"/>
  <cols>
    <col min="1" max="1" width="11.140625" style="12" bestFit="1" customWidth="1"/>
    <col min="2" max="2" width="8.85546875" style="12" bestFit="1" customWidth="1"/>
    <col min="3" max="3" width="23.5703125" style="12" customWidth="1"/>
    <col min="4" max="4" width="7.7109375" style="12" bestFit="1" customWidth="1"/>
    <col min="5" max="6" width="8.7109375" style="12" bestFit="1" customWidth="1"/>
    <col min="7" max="7" width="48.85546875" style="12" bestFit="1" customWidth="1"/>
    <col min="8" max="8" width="17.7109375" style="12" bestFit="1" customWidth="1"/>
    <col min="9" max="9" width="5.42578125" style="16" hidden="1" customWidth="1"/>
  </cols>
  <sheetData>
    <row r="1" spans="1:12" ht="33.75" x14ac:dyDescent="0.2">
      <c r="A1" s="10" t="s">
        <v>63</v>
      </c>
      <c r="B1" s="10" t="s">
        <v>64</v>
      </c>
      <c r="C1" s="10" t="s">
        <v>65</v>
      </c>
      <c r="D1" s="10" t="s">
        <v>66</v>
      </c>
      <c r="E1" s="10" t="s">
        <v>67</v>
      </c>
      <c r="F1" s="10" t="s">
        <v>68</v>
      </c>
      <c r="G1" s="10" t="s">
        <v>60</v>
      </c>
      <c r="H1" s="10" t="s">
        <v>62</v>
      </c>
      <c r="J1" s="1" t="s">
        <v>61</v>
      </c>
      <c r="K1" s="1" t="s">
        <v>76</v>
      </c>
      <c r="L1" s="1" t="s">
        <v>100</v>
      </c>
    </row>
    <row r="2" spans="1:12" hidden="1" x14ac:dyDescent="0.2">
      <c r="A2" s="8" t="s">
        <v>94</v>
      </c>
      <c r="B2" s="7" t="s">
        <v>96</v>
      </c>
      <c r="C2" s="13"/>
      <c r="D2" s="10"/>
      <c r="E2" s="10"/>
      <c r="F2" s="10"/>
      <c r="G2" s="10"/>
      <c r="H2" s="10"/>
      <c r="I2" s="15"/>
      <c r="J2" s="2"/>
      <c r="K2" s="2"/>
      <c r="L2" s="2"/>
    </row>
    <row r="3" spans="1:12" hidden="1" x14ac:dyDescent="0.2">
      <c r="A3" s="13"/>
      <c r="B3" s="13"/>
      <c r="C3" s="13"/>
      <c r="D3" s="10"/>
      <c r="E3" s="10"/>
      <c r="F3" s="10"/>
      <c r="G3" s="10"/>
      <c r="H3" s="10"/>
      <c r="I3" s="15"/>
      <c r="J3" s="2"/>
      <c r="K3" s="2"/>
      <c r="L3" s="2"/>
    </row>
    <row r="4" spans="1:12" hidden="1" x14ac:dyDescent="0.2">
      <c r="A4" s="11" t="s">
        <v>98</v>
      </c>
      <c r="J4" s="2"/>
      <c r="K4" s="2"/>
      <c r="L4" s="2"/>
    </row>
    <row r="5" spans="1:12" hidden="1" x14ac:dyDescent="0.2">
      <c r="A5" s="11" t="s">
        <v>4</v>
      </c>
      <c r="B5" s="11" t="s">
        <v>5</v>
      </c>
      <c r="C5" s="11" t="s">
        <v>6</v>
      </c>
      <c r="D5" s="11" t="s">
        <v>30</v>
      </c>
      <c r="E5" s="11" t="s">
        <v>45</v>
      </c>
      <c r="F5" s="11" t="s">
        <v>10</v>
      </c>
      <c r="G5" s="11" t="s">
        <v>7</v>
      </c>
      <c r="H5" s="11" t="s">
        <v>15</v>
      </c>
      <c r="I5" s="7" t="s">
        <v>97</v>
      </c>
      <c r="J5" s="20"/>
      <c r="K5" s="2"/>
      <c r="L5" s="20"/>
    </row>
    <row r="6" spans="1:12" x14ac:dyDescent="0.2">
      <c r="A6" s="7" t="s">
        <v>218</v>
      </c>
      <c r="B6" s="7" t="s">
        <v>93</v>
      </c>
      <c r="C6" s="7" t="s">
        <v>219</v>
      </c>
      <c r="D6" s="7" t="s">
        <v>111</v>
      </c>
      <c r="E6" s="7" t="s">
        <v>198</v>
      </c>
      <c r="F6" s="7" t="s">
        <v>221</v>
      </c>
      <c r="G6" s="7" t="s">
        <v>220</v>
      </c>
      <c r="H6" s="7" t="s">
        <v>226</v>
      </c>
      <c r="I6" s="18">
        <v>1</v>
      </c>
      <c r="J6">
        <v>500</v>
      </c>
      <c r="L6">
        <v>30</v>
      </c>
    </row>
    <row r="7" spans="1:12" x14ac:dyDescent="0.2">
      <c r="A7">
        <v>1</v>
      </c>
      <c r="B7"/>
      <c r="C7"/>
      <c r="D7"/>
      <c r="E7"/>
      <c r="F7"/>
      <c r="G7"/>
      <c r="H7"/>
      <c r="I7"/>
      <c r="K7" s="21"/>
    </row>
    <row r="8" spans="1:12" x14ac:dyDescent="0.2">
      <c r="A8"/>
      <c r="B8"/>
      <c r="C8"/>
      <c r="D8"/>
      <c r="E8"/>
      <c r="F8"/>
      <c r="G8"/>
      <c r="H8"/>
      <c r="I8"/>
    </row>
    <row r="9" spans="1:12" x14ac:dyDescent="0.2">
      <c r="A9"/>
      <c r="B9"/>
      <c r="C9"/>
      <c r="D9"/>
      <c r="E9"/>
      <c r="F9"/>
      <c r="G9"/>
      <c r="H9"/>
      <c r="I9"/>
    </row>
    <row r="10" spans="1:12" x14ac:dyDescent="0.2">
      <c r="A10"/>
      <c r="B10"/>
      <c r="C10"/>
      <c r="D10"/>
      <c r="E10"/>
      <c r="F10"/>
      <c r="G10"/>
      <c r="H10"/>
      <c r="I10"/>
    </row>
    <row r="11" spans="1:12" x14ac:dyDescent="0.2">
      <c r="A11"/>
      <c r="B11"/>
      <c r="C11"/>
      <c r="D11"/>
      <c r="E11"/>
      <c r="F11"/>
      <c r="G11"/>
      <c r="H11"/>
      <c r="I11"/>
    </row>
    <row r="12" spans="1:12" x14ac:dyDescent="0.2">
      <c r="A12"/>
      <c r="B12"/>
      <c r="C12"/>
      <c r="D12"/>
      <c r="E12"/>
      <c r="F12"/>
      <c r="G12"/>
      <c r="H12"/>
      <c r="I12"/>
    </row>
    <row r="13" spans="1:12" x14ac:dyDescent="0.2">
      <c r="A13"/>
      <c r="B13"/>
      <c r="C13"/>
      <c r="D13"/>
      <c r="E13"/>
      <c r="F13"/>
      <c r="G13"/>
      <c r="H13"/>
      <c r="I13"/>
    </row>
    <row r="14" spans="1:12" x14ac:dyDescent="0.2">
      <c r="A14"/>
      <c r="B14"/>
      <c r="C14"/>
      <c r="D14"/>
      <c r="E14"/>
      <c r="F14"/>
      <c r="G14"/>
      <c r="H14"/>
      <c r="I14"/>
    </row>
    <row r="15" spans="1:12" x14ac:dyDescent="0.2">
      <c r="A15" s="14"/>
      <c r="B15" s="14"/>
      <c r="C15" s="14"/>
      <c r="D15" s="14"/>
      <c r="E15" s="14"/>
      <c r="F15" s="14"/>
      <c r="G15" s="14"/>
      <c r="H15" s="14"/>
      <c r="I15" s="17"/>
    </row>
  </sheetData>
  <phoneticPr fontId="2" type="noConversion"/>
  <conditionalFormatting sqref="A1">
    <cfRule type="duplicateValues" dxfId="2" priority="6"/>
  </conditionalFormatting>
  <dataValidations count="3">
    <dataValidation type="decimal" allowBlank="1" showInputMessage="1" showErrorMessage="1" error="必须是数值才能输入" prompt="请参照基本单位输入数值" sqref="J1:J1048576" xr:uid="{2B6401AB-571C-491F-B725-11488D1410D1}">
      <formula1>0</formula1>
      <formula2>9999999999999</formula2>
    </dataValidation>
    <dataValidation type="decimal" allowBlank="1" showInputMessage="1" showErrorMessage="1" error="必须是数值才能输入" prompt="请按照基本单位输入数值" sqref="K1:K1048576" xr:uid="{241A9BCA-D244-49FD-AF7F-3616550CFDC7}">
      <formula1>0</formula1>
      <formula2>9999999999</formula2>
    </dataValidation>
    <dataValidation type="whole" showInputMessage="1" showErrorMessage="1" error="您输入的不是整数" sqref="L1:L1048576" xr:uid="{324BF51A-D0F3-4CB3-9A81-E1D71AAFCA60}">
      <formula1>0</formula1>
      <formula2>99999999999999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665B1-720F-4D59-B2E5-FB9BD726420A}">
  <dimension ref="A1:AG999"/>
  <sheetViews>
    <sheetView tabSelected="1" workbookViewId="0">
      <pane xSplit="6" ySplit="5" topLeftCell="Z6" activePane="bottomRight" state="frozen"/>
      <selection pane="topRight" activeCell="G1" sqref="G1"/>
      <selection pane="bottomLeft" activeCell="A6" sqref="A6"/>
      <selection pane="bottomRight" activeCell="J12" sqref="J12:AG12"/>
    </sheetView>
  </sheetViews>
  <sheetFormatPr defaultRowHeight="12.75" x14ac:dyDescent="0.2"/>
  <cols>
    <col min="1" max="1" width="11.140625" style="28" bestFit="1" customWidth="1"/>
    <col min="2" max="2" width="8.85546875" style="28" bestFit="1" customWidth="1"/>
    <col min="3" max="3" width="23.5703125" style="28" customWidth="1"/>
    <col min="4" max="4" width="7.7109375" style="28" bestFit="1" customWidth="1"/>
    <col min="5" max="6" width="8.7109375" style="28" bestFit="1" customWidth="1"/>
    <col min="7" max="7" width="32" style="28" customWidth="1"/>
    <col min="8" max="8" width="17.7109375" style="28" bestFit="1" customWidth="1"/>
    <col min="9" max="9" width="5.42578125" style="29" hidden="1" customWidth="1"/>
    <col min="10" max="10" width="11.5703125" style="32" bestFit="1" customWidth="1"/>
    <col min="11" max="11" width="9.5703125" style="32" bestFit="1" customWidth="1"/>
    <col min="12" max="15" width="9.140625" style="32"/>
    <col min="16" max="16" width="9.140625" style="32" bestFit="1" customWidth="1"/>
    <col min="17" max="17" width="7.28515625" style="32" bestFit="1" customWidth="1"/>
    <col min="18" max="18" width="9.140625" style="32"/>
    <col min="19" max="20" width="13.140625" style="32" bestFit="1" customWidth="1"/>
    <col min="21" max="31" width="9.140625" style="32"/>
    <col min="32" max="32" width="15.7109375" style="32" bestFit="1" customWidth="1"/>
    <col min="33" max="16384" width="9.140625" style="32"/>
  </cols>
  <sheetData>
    <row r="1" spans="1:33" s="35" customFormat="1" x14ac:dyDescent="0.2">
      <c r="A1" s="13" t="s">
        <v>63</v>
      </c>
      <c r="B1" s="13" t="s">
        <v>64</v>
      </c>
      <c r="C1" s="13" t="s">
        <v>65</v>
      </c>
      <c r="D1" s="13" t="s">
        <v>66</v>
      </c>
      <c r="E1" s="13" t="s">
        <v>67</v>
      </c>
      <c r="F1" s="13" t="s">
        <v>68</v>
      </c>
      <c r="G1" s="13" t="s">
        <v>60</v>
      </c>
      <c r="H1" s="13" t="s">
        <v>62</v>
      </c>
      <c r="I1" s="29"/>
      <c r="J1" s="91" t="s">
        <v>69</v>
      </c>
      <c r="K1" s="91" t="s">
        <v>70</v>
      </c>
      <c r="L1" s="91" t="s">
        <v>71</v>
      </c>
      <c r="M1" s="91" t="s">
        <v>72</v>
      </c>
      <c r="N1" s="91" t="s">
        <v>73</v>
      </c>
      <c r="O1" s="91" t="s">
        <v>74</v>
      </c>
      <c r="P1" s="91" t="s">
        <v>75</v>
      </c>
      <c r="Q1" s="91" t="s">
        <v>76</v>
      </c>
      <c r="R1" s="91" t="s">
        <v>77</v>
      </c>
      <c r="S1" s="91" t="s">
        <v>78</v>
      </c>
      <c r="T1" s="91" t="s">
        <v>79</v>
      </c>
      <c r="U1" s="91" t="s">
        <v>80</v>
      </c>
      <c r="V1" s="91" t="s">
        <v>81</v>
      </c>
      <c r="W1" s="91" t="s">
        <v>82</v>
      </c>
      <c r="X1" s="91" t="s">
        <v>83</v>
      </c>
      <c r="Y1" s="91" t="s">
        <v>84</v>
      </c>
      <c r="Z1" s="91" t="s">
        <v>85</v>
      </c>
      <c r="AA1" s="91" t="s">
        <v>86</v>
      </c>
      <c r="AB1" s="91" t="s">
        <v>87</v>
      </c>
      <c r="AC1" s="91" t="s">
        <v>88</v>
      </c>
      <c r="AD1" s="91" t="s">
        <v>89</v>
      </c>
      <c r="AE1" s="91" t="s">
        <v>90</v>
      </c>
      <c r="AF1" s="91" t="s">
        <v>91</v>
      </c>
      <c r="AG1" s="91" t="s">
        <v>92</v>
      </c>
    </row>
    <row r="2" spans="1:33" s="35" customFormat="1" hidden="1" x14ac:dyDescent="0.2">
      <c r="A2" s="30" t="s">
        <v>101</v>
      </c>
      <c r="B2" s="27" t="s">
        <v>103</v>
      </c>
      <c r="C2" s="13"/>
      <c r="D2" s="13"/>
      <c r="E2" s="13"/>
      <c r="F2" s="13"/>
      <c r="G2" s="13"/>
      <c r="H2" s="13"/>
      <c r="I2" s="3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</row>
    <row r="3" spans="1:33" hidden="1" x14ac:dyDescent="0.2">
      <c r="A3" s="13"/>
      <c r="B3" s="13"/>
      <c r="C3" s="13"/>
      <c r="D3" s="13"/>
      <c r="E3" s="13"/>
      <c r="F3" s="13"/>
      <c r="G3" s="13"/>
      <c r="H3" s="13"/>
      <c r="I3" s="31"/>
    </row>
    <row r="4" spans="1:33" hidden="1" x14ac:dyDescent="0.2">
      <c r="A4" s="26" t="s">
        <v>98</v>
      </c>
    </row>
    <row r="5" spans="1:33" hidden="1" x14ac:dyDescent="0.2">
      <c r="A5" s="26" t="s">
        <v>4</v>
      </c>
      <c r="B5" s="26" t="s">
        <v>5</v>
      </c>
      <c r="C5" s="26" t="s">
        <v>6</v>
      </c>
      <c r="D5" s="26" t="s">
        <v>30</v>
      </c>
      <c r="E5" s="26" t="s">
        <v>45</v>
      </c>
      <c r="F5" s="26" t="s">
        <v>10</v>
      </c>
      <c r="G5" s="26" t="s">
        <v>7</v>
      </c>
      <c r="H5" s="26" t="s">
        <v>15</v>
      </c>
      <c r="I5" s="27" t="s">
        <v>97</v>
      </c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</row>
    <row r="6" spans="1:33" x14ac:dyDescent="0.2">
      <c r="A6" s="27" t="s">
        <v>218</v>
      </c>
      <c r="B6" s="27" t="s">
        <v>93</v>
      </c>
      <c r="C6" s="27" t="s">
        <v>219</v>
      </c>
      <c r="D6" s="27" t="s">
        <v>111</v>
      </c>
      <c r="E6" s="27" t="s">
        <v>198</v>
      </c>
      <c r="F6" s="27" t="s">
        <v>221</v>
      </c>
      <c r="G6" s="27" t="s">
        <v>220</v>
      </c>
      <c r="H6" s="27" t="s">
        <v>226</v>
      </c>
      <c r="I6" s="36">
        <v>1</v>
      </c>
      <c r="J6" s="37" t="s">
        <v>113</v>
      </c>
      <c r="K6" s="37" t="str">
        <f>_xlfn.IFS(AND(LEFT(A6,1)="4",D6="中国"),"ND",AND(LEFT(A6,1)="5",D6="中国"),"ND",AND(LEFT(A6,1)="5",D6&lt;&gt;"中国"),"M2",A6="","",A6&lt;&gt;"","PD")</f>
        <v>PD</v>
      </c>
      <c r="L6" s="37" t="str">
        <f t="shared" ref="L6:L68" si="0">_xlfn.IFS(LEFT(A6)="1","MB",LEFT(A6)="2","WB",LEFT(A6)="3","WB",AND(LEFT(A6)="4",D6&lt;&gt;"中国",J6&lt;&gt;"Y01"),"FX",A6&lt;&gt;"","EX",A6="","")</f>
        <v>MB</v>
      </c>
      <c r="M6" s="37" t="str">
        <f>IF(OR(L6="FX",L6=""),"","NA")</f>
        <v>NA</v>
      </c>
      <c r="N6" s="37" t="str">
        <f>IF(A6="","","NA")</f>
        <v>NA</v>
      </c>
      <c r="O6" s="37" t="str">
        <f t="shared" ref="O6:O68" si="1">IF(OR(LEFT(A6,1)="4",LEFT(A6,1)="5"),"NA","")</f>
        <v/>
      </c>
      <c r="P6" s="37">
        <f>IF(A6="","",IFERROR(VLOOKUP(A6,'表3（采购界面）'!A:J,10,0),"NA"))</f>
        <v>500</v>
      </c>
      <c r="Q6" s="37">
        <f>IF(A6="","",IFERROR(VLOOKUP(A6,'表3（采购界面）'!A:Z,11,0),"NA"))</f>
        <v>0</v>
      </c>
      <c r="R6" s="37" t="str">
        <f>IF(A6="","",IF(OR(LEFT(A6,1)="1",LEFT(A6,1)="2",LEFT(A6,1)="3"),"F","E"))</f>
        <v>F</v>
      </c>
      <c r="S6" s="37">
        <f>_xlfn.IFS(LEFT(A6,1)="5",VLOOKUP(A6,'表2（QC界面）'!A:J,10,0)+2,LEFT(A6,1)="4",0,AND(LEFT(A6,1)="1",J6&lt;&gt;"Y01"),VLOOKUP(A6,'表2（QC界面）'!A:J,10,0)+24,A6&lt;&gt;0,VLOOKUP(A6,'表2（QC界面）'!A:J,10,0)+4)</f>
        <v>30</v>
      </c>
      <c r="T6" s="37">
        <f>IF(OR(LEFT(A6,1)="4",LEFT(A6,1)="5"),"NA",VLOOKUP(A6,'表3（采购界面）'!A:L,12,0))</f>
        <v>30</v>
      </c>
      <c r="U6" s="37" t="str">
        <f>IF(A6="","","5000-1")</f>
        <v>5000-1</v>
      </c>
      <c r="V6" s="37">
        <f>_xlfn.IFS(LEFT(A6,1)="1",2,LEFT(A6,1)="2",1,LEFT(A6,1)="4",1,A6&lt;&gt;0,"NA")</f>
        <v>2</v>
      </c>
      <c r="W6" s="37" t="str">
        <f>IF(LEFT(A6,1)="4",1,"NA")</f>
        <v>NA</v>
      </c>
      <c r="X6" s="37" t="str">
        <f>_xlfn.IFS(LEFT(A6,1)="4",25,LEFT(A6,1)="5",10,A6&lt;&gt;0,"NA")</f>
        <v>NA</v>
      </c>
      <c r="Y6" s="37" t="str">
        <f>_xlfn.IFS(LEFT(A6,1)="4",10,AND(LEFT(A6,1)="5",D6="中国"),11,LEFT(A6,1)="5",50,A6&lt;&gt;0,"NA")</f>
        <v>NA</v>
      </c>
      <c r="Z6" s="37" t="str">
        <f>IF(AND(LEFT(A6,1)="5",D6="中国"),2,"NA")</f>
        <v>NA</v>
      </c>
      <c r="AA6" s="37" t="str">
        <f>_xlfn.IFS(AND(LEFT(A6,1)="5",D6="中国"),2,LEFT(A6,1)="5",1,A6&lt;&gt;0,"NA")</f>
        <v>NA</v>
      </c>
      <c r="AB6" s="37" t="str">
        <f>_xlfn.IFS(AND(LEFT(A6,1)="5",D6="中国"),30,LEFT(A6,1)="5",999,A6&lt;&gt;0,"NA")</f>
        <v>NA</v>
      </c>
      <c r="AC6" s="37" t="str">
        <f>AB6</f>
        <v>NA</v>
      </c>
      <c r="AD6" s="37">
        <f>IF(LEFT(A6,1)="5","NA",2)</f>
        <v>2</v>
      </c>
      <c r="AE6" s="37" t="str">
        <f>_xlfn.IFS(AND(LEFT(A6,1)="5",D6="中国"),1,LEFT(A6,1)="5",60,A6&lt;&gt;0,"NA")</f>
        <v>NA</v>
      </c>
      <c r="AF6" s="37" t="str">
        <f>IF(OR(LEFT(A6,1)="4",LEFT(A6,1)="5"),J6,"NA")</f>
        <v>NA</v>
      </c>
      <c r="AG6" s="37" t="str">
        <f>IF(OR(LEFT(A6,1)="4",LEFT(A6,1)="5"),"ZJ01","NA")</f>
        <v>NA</v>
      </c>
    </row>
    <row r="7" spans="1:33" ht="25.5" x14ac:dyDescent="0.2">
      <c r="A7" s="27" t="s">
        <v>184</v>
      </c>
      <c r="B7" s="27" t="s">
        <v>93</v>
      </c>
      <c r="C7" s="27" t="s">
        <v>185</v>
      </c>
      <c r="D7" s="27" t="s">
        <v>111</v>
      </c>
      <c r="E7" s="27" t="s">
        <v>198</v>
      </c>
      <c r="F7" s="27" t="s">
        <v>112</v>
      </c>
      <c r="G7" s="27" t="s">
        <v>186</v>
      </c>
      <c r="H7" s="27" t="s">
        <v>192</v>
      </c>
      <c r="I7" s="36">
        <v>1</v>
      </c>
      <c r="J7" s="37" t="s">
        <v>113</v>
      </c>
      <c r="K7" s="37" t="str">
        <f t="shared" ref="K7:K12" si="2">_xlfn.IFS(AND(LEFT(A7,1)="4",D7="中国"),"ND",AND(LEFT(A7,1)="5",D7="中国"),"ND",AND(LEFT(A7,1)="5",D7&lt;&gt;"中国"),"M2",A7="","",A7&lt;&gt;"","PD")</f>
        <v>ND</v>
      </c>
      <c r="L7" s="37" t="str">
        <f t="shared" ref="L7:L12" si="3">_xlfn.IFS(LEFT(A7)="1","MB",LEFT(A7)="2","WB",LEFT(A7)="3","WB",AND(LEFT(A7)="4",D7&lt;&gt;"中国",J7&lt;&gt;"Y01"),"FX",A7&lt;&gt;"","EX",A7="","")</f>
        <v>EX</v>
      </c>
      <c r="M7" s="37" t="str">
        <f t="shared" ref="M7:M12" si="4">IF(OR(L7="FX",L7=""),"","NA")</f>
        <v>NA</v>
      </c>
      <c r="N7" s="37" t="str">
        <f t="shared" ref="N7:N12" si="5">IF(A7="","","NA")</f>
        <v>NA</v>
      </c>
      <c r="O7" s="37" t="str">
        <f t="shared" ref="O7:O12" si="6">IF(OR(LEFT(A7,1)="4",LEFT(A7,1)="5"),"NA","")</f>
        <v>NA</v>
      </c>
      <c r="P7" s="37" t="str">
        <f>IF(A7="","",IFERROR(VLOOKUP(A7,'表3（采购界面）'!A:J,10,0),"NA"))</f>
        <v>NA</v>
      </c>
      <c r="Q7" s="37" t="str">
        <f>IF(A7="","",IFERROR(VLOOKUP(A7,'表3（采购界面）'!A:Z,11,0),"NA"))</f>
        <v>NA</v>
      </c>
      <c r="R7" s="37" t="str">
        <f t="shared" ref="R7:R12" si="7">IF(A7="","",IF(OR(LEFT(A7,1)="1",LEFT(A7,1)="2",LEFT(A7,1)="3"),"F","E"))</f>
        <v>E</v>
      </c>
      <c r="S7" s="37">
        <f>_xlfn.IFS(LEFT(A7,1)="5",VLOOKUP(A7,'表2（QC界面）'!A:J,10,0)+2,LEFT(A7,1)="4",0,AND(LEFT(A7,1)="1",J7&lt;&gt;"Y01"),VLOOKUP(A7,'表2（QC界面）'!A:J,10,0)+24,A7&lt;&gt;0,VLOOKUP(A7,'表2（QC界面）'!A:J,10,0)+4)</f>
        <v>0</v>
      </c>
      <c r="T7" s="37" t="str">
        <f>IF(OR(LEFT(A7,1)="4",LEFT(A7,1)="5"),"NA",VLOOKUP(A7,'表3（采购界面）'!A:L,12,0))</f>
        <v>NA</v>
      </c>
      <c r="U7" s="37" t="str">
        <f t="shared" ref="U7:U12" si="8">IF(A7="","","5000-1")</f>
        <v>5000-1</v>
      </c>
      <c r="V7" s="37">
        <f t="shared" ref="V7:V12" si="9">_xlfn.IFS(LEFT(A7,1)="1",2,LEFT(A7,1)="2",1,LEFT(A7,1)="4",1,A7&lt;&gt;0,"NA")</f>
        <v>1</v>
      </c>
      <c r="W7" s="37">
        <f t="shared" ref="W7:W12" si="10">IF(LEFT(A7,1)="4",1,"NA")</f>
        <v>1</v>
      </c>
      <c r="X7" s="37">
        <f t="shared" ref="X7:X12" si="11">_xlfn.IFS(LEFT(A7,1)="4",25,LEFT(A7,1)="5",10,A7&lt;&gt;0,"NA")</f>
        <v>25</v>
      </c>
      <c r="Y7" s="37">
        <f t="shared" ref="Y7:Y12" si="12">_xlfn.IFS(LEFT(A7,1)="4",10,AND(LEFT(A7,1)="5",D7="中国"),11,LEFT(A7,1)="5",50,A7&lt;&gt;0,"NA")</f>
        <v>10</v>
      </c>
      <c r="Z7" s="37" t="str">
        <f t="shared" ref="Z7:Z12" si="13">IF(AND(LEFT(A7,1)="5",D7="中国"),2,"NA")</f>
        <v>NA</v>
      </c>
      <c r="AA7" s="37" t="str">
        <f t="shared" ref="AA7:AA12" si="14">_xlfn.IFS(AND(LEFT(A7,1)="5",D7="中国"),2,LEFT(A7,1)="5",1,A7&lt;&gt;0,"NA")</f>
        <v>NA</v>
      </c>
      <c r="AB7" s="37" t="str">
        <f t="shared" ref="AB7:AB12" si="15">_xlfn.IFS(AND(LEFT(A7,1)="5",D7="中国"),30,LEFT(A7,1)="5",999,A7&lt;&gt;0,"NA")</f>
        <v>NA</v>
      </c>
      <c r="AC7" s="37" t="str">
        <f t="shared" ref="AC7:AC12" si="16">AB7</f>
        <v>NA</v>
      </c>
      <c r="AD7" s="37">
        <f t="shared" ref="AD7:AD12" si="17">IF(LEFT(A7,1)="5","NA",2)</f>
        <v>2</v>
      </c>
      <c r="AE7" s="37" t="str">
        <f t="shared" ref="AE7:AE12" si="18">_xlfn.IFS(AND(LEFT(A7,1)="5",D7="中国"),1,LEFT(A7,1)="5",60,A7&lt;&gt;0,"NA")</f>
        <v>NA</v>
      </c>
      <c r="AF7" s="37" t="str">
        <f t="shared" ref="AF7:AF12" si="19">IF(OR(LEFT(A7,1)="4",LEFT(A7,1)="5"),J7,"NA")</f>
        <v>Y01</v>
      </c>
      <c r="AG7" s="37" t="str">
        <f t="shared" ref="AG7:AG12" si="20">IF(OR(LEFT(A7,1)="4",LEFT(A7,1)="5"),"ZJ01","NA")</f>
        <v>ZJ01</v>
      </c>
    </row>
    <row r="8" spans="1:33" x14ac:dyDescent="0.2">
      <c r="A8" s="27" t="s">
        <v>201</v>
      </c>
      <c r="B8" s="27" t="s">
        <v>93</v>
      </c>
      <c r="C8" s="27" t="s">
        <v>202</v>
      </c>
      <c r="D8" s="27" t="s">
        <v>111</v>
      </c>
      <c r="E8" s="27" t="s">
        <v>210</v>
      </c>
      <c r="F8" s="27" t="s">
        <v>112</v>
      </c>
      <c r="G8" s="27" t="s">
        <v>203</v>
      </c>
      <c r="H8" s="27" t="s">
        <v>206</v>
      </c>
      <c r="I8" s="36">
        <v>1</v>
      </c>
      <c r="J8" s="37" t="s">
        <v>113</v>
      </c>
      <c r="K8" s="37" t="str">
        <f t="shared" si="2"/>
        <v>ND</v>
      </c>
      <c r="L8" s="37" t="str">
        <f t="shared" si="3"/>
        <v>EX</v>
      </c>
      <c r="M8" s="37" t="str">
        <f t="shared" si="4"/>
        <v>NA</v>
      </c>
      <c r="N8" s="37" t="str">
        <f t="shared" si="5"/>
        <v>NA</v>
      </c>
      <c r="O8" s="37" t="str">
        <f t="shared" si="6"/>
        <v>NA</v>
      </c>
      <c r="P8" s="37" t="str">
        <f>IF(A8="","",IFERROR(VLOOKUP(A8,'表3（采购界面）'!A:J,10,0),"NA"))</f>
        <v>NA</v>
      </c>
      <c r="Q8" s="37" t="str">
        <f>IF(A8="","",IFERROR(VLOOKUP(A8,'表3（采购界面）'!A:Z,11,0),"NA"))</f>
        <v>NA</v>
      </c>
      <c r="R8" s="37" t="str">
        <f t="shared" si="7"/>
        <v>E</v>
      </c>
      <c r="S8" s="37">
        <f>_xlfn.IFS(LEFT(A8,1)="5",VLOOKUP(A8,'表2（QC界面）'!A:J,10,0)+2,LEFT(A8,1)="4",0,AND(LEFT(A8,1)="1",J8&lt;&gt;"Y01"),VLOOKUP(A8,'表2（QC界面）'!A:J,10,0)+24,A8&lt;&gt;0,VLOOKUP(A8,'表2（QC界面）'!A:J,10,0)+4)</f>
        <v>0</v>
      </c>
      <c r="T8" s="37" t="str">
        <f>IF(OR(LEFT(A8,1)="4",LEFT(A8,1)="5"),"NA",VLOOKUP(A8,'表3（采购界面）'!A:L,12,0))</f>
        <v>NA</v>
      </c>
      <c r="U8" s="37" t="str">
        <f t="shared" si="8"/>
        <v>5000-1</v>
      </c>
      <c r="V8" s="37">
        <f t="shared" si="9"/>
        <v>1</v>
      </c>
      <c r="W8" s="37">
        <f t="shared" si="10"/>
        <v>1</v>
      </c>
      <c r="X8" s="37">
        <f t="shared" si="11"/>
        <v>25</v>
      </c>
      <c r="Y8" s="37">
        <f t="shared" si="12"/>
        <v>10</v>
      </c>
      <c r="Z8" s="37" t="str">
        <f t="shared" si="13"/>
        <v>NA</v>
      </c>
      <c r="AA8" s="37" t="str">
        <f t="shared" si="14"/>
        <v>NA</v>
      </c>
      <c r="AB8" s="37" t="str">
        <f t="shared" si="15"/>
        <v>NA</v>
      </c>
      <c r="AC8" s="37" t="str">
        <f t="shared" si="16"/>
        <v>NA</v>
      </c>
      <c r="AD8" s="37">
        <f t="shared" si="17"/>
        <v>2</v>
      </c>
      <c r="AE8" s="37" t="str">
        <f t="shared" si="18"/>
        <v>NA</v>
      </c>
      <c r="AF8" s="37" t="str">
        <f t="shared" si="19"/>
        <v>Y01</v>
      </c>
      <c r="AG8" s="37" t="str">
        <f t="shared" si="20"/>
        <v>ZJ01</v>
      </c>
    </row>
    <row r="9" spans="1:33" x14ac:dyDescent="0.2">
      <c r="A9" s="27" t="s">
        <v>211</v>
      </c>
      <c r="B9" s="27" t="s">
        <v>93</v>
      </c>
      <c r="C9" s="27" t="s">
        <v>212</v>
      </c>
      <c r="D9" s="27" t="s">
        <v>182</v>
      </c>
      <c r="E9" s="27" t="s">
        <v>210</v>
      </c>
      <c r="F9" s="27" t="s">
        <v>112</v>
      </c>
      <c r="G9" s="27" t="s">
        <v>182</v>
      </c>
      <c r="H9" s="27" t="s">
        <v>206</v>
      </c>
      <c r="I9" s="36">
        <v>1</v>
      </c>
      <c r="J9" s="37" t="s">
        <v>113</v>
      </c>
      <c r="K9" s="37" t="str">
        <f t="shared" si="2"/>
        <v>PD</v>
      </c>
      <c r="L9" s="37" t="str">
        <f t="shared" si="3"/>
        <v>EX</v>
      </c>
      <c r="M9" s="37" t="str">
        <f t="shared" si="4"/>
        <v>NA</v>
      </c>
      <c r="N9" s="37" t="str">
        <f t="shared" si="5"/>
        <v>NA</v>
      </c>
      <c r="O9" s="37" t="str">
        <f t="shared" si="6"/>
        <v>NA</v>
      </c>
      <c r="P9" s="37" t="str">
        <f>IF(A9="","",IFERROR(VLOOKUP(A9,'表3（采购界面）'!A:J,10,0),"NA"))</f>
        <v>NA</v>
      </c>
      <c r="Q9" s="37" t="str">
        <f>IF(A9="","",IFERROR(VLOOKUP(A9,'表3（采购界面）'!A:Z,11,0),"NA"))</f>
        <v>NA</v>
      </c>
      <c r="R9" s="37" t="str">
        <f t="shared" si="7"/>
        <v>E</v>
      </c>
      <c r="S9" s="37">
        <f>_xlfn.IFS(LEFT(A9,1)="5",VLOOKUP(A9,'表2（QC界面）'!A:J,10,0)+2,LEFT(A9,1)="4",0,AND(LEFT(A9,1)="1",J9&lt;&gt;"Y01"),VLOOKUP(A9,'表2（QC界面）'!A:J,10,0)+24,A9&lt;&gt;0,VLOOKUP(A9,'表2（QC界面）'!A:J,10,0)+4)</f>
        <v>0</v>
      </c>
      <c r="T9" s="37" t="str">
        <f>IF(OR(LEFT(A9,1)="4",LEFT(A9,1)="5"),"NA",VLOOKUP(A9,'表3（采购界面）'!A:L,12,0))</f>
        <v>NA</v>
      </c>
      <c r="U9" s="37" t="str">
        <f t="shared" si="8"/>
        <v>5000-1</v>
      </c>
      <c r="V9" s="37">
        <f t="shared" si="9"/>
        <v>1</v>
      </c>
      <c r="W9" s="37">
        <f t="shared" si="10"/>
        <v>1</v>
      </c>
      <c r="X9" s="37">
        <f t="shared" si="11"/>
        <v>25</v>
      </c>
      <c r="Y9" s="37">
        <f t="shared" si="12"/>
        <v>10</v>
      </c>
      <c r="Z9" s="37" t="str">
        <f t="shared" si="13"/>
        <v>NA</v>
      </c>
      <c r="AA9" s="37" t="str">
        <f t="shared" si="14"/>
        <v>NA</v>
      </c>
      <c r="AB9" s="37" t="str">
        <f t="shared" si="15"/>
        <v>NA</v>
      </c>
      <c r="AC9" s="37" t="str">
        <f t="shared" si="16"/>
        <v>NA</v>
      </c>
      <c r="AD9" s="37">
        <f t="shared" si="17"/>
        <v>2</v>
      </c>
      <c r="AE9" s="37" t="str">
        <f t="shared" si="18"/>
        <v>NA</v>
      </c>
      <c r="AF9" s="37" t="str">
        <f t="shared" si="19"/>
        <v>Y01</v>
      </c>
      <c r="AG9" s="37" t="str">
        <f t="shared" si="20"/>
        <v>ZJ01</v>
      </c>
    </row>
    <row r="10" spans="1:33" x14ac:dyDescent="0.2">
      <c r="A10" s="27" t="s">
        <v>214</v>
      </c>
      <c r="B10" s="27" t="s">
        <v>93</v>
      </c>
      <c r="C10" s="27" t="s">
        <v>215</v>
      </c>
      <c r="D10" s="27" t="s">
        <v>182</v>
      </c>
      <c r="E10" s="27" t="s">
        <v>210</v>
      </c>
      <c r="F10" s="27" t="s">
        <v>112</v>
      </c>
      <c r="G10" s="27" t="s">
        <v>203</v>
      </c>
      <c r="H10" s="27" t="s">
        <v>206</v>
      </c>
      <c r="I10" s="36">
        <v>1</v>
      </c>
      <c r="J10" s="37" t="s">
        <v>113</v>
      </c>
      <c r="K10" s="37" t="str">
        <f t="shared" si="2"/>
        <v>PD</v>
      </c>
      <c r="L10" s="37" t="str">
        <f t="shared" si="3"/>
        <v>EX</v>
      </c>
      <c r="M10" s="37" t="str">
        <f t="shared" si="4"/>
        <v>NA</v>
      </c>
      <c r="N10" s="37" t="str">
        <f t="shared" si="5"/>
        <v>NA</v>
      </c>
      <c r="O10" s="37" t="str">
        <f t="shared" si="6"/>
        <v>NA</v>
      </c>
      <c r="P10" s="37" t="str">
        <f>IF(A10="","",IFERROR(VLOOKUP(A10,'表3（采购界面）'!A:J,10,0),"NA"))</f>
        <v>NA</v>
      </c>
      <c r="Q10" s="37" t="str">
        <f>IF(A10="","",IFERROR(VLOOKUP(A10,'表3（采购界面）'!A:Z,11,0),"NA"))</f>
        <v>NA</v>
      </c>
      <c r="R10" s="37" t="str">
        <f t="shared" si="7"/>
        <v>E</v>
      </c>
      <c r="S10" s="37">
        <f>_xlfn.IFS(LEFT(A10,1)="5",VLOOKUP(A10,'表2（QC界面）'!A:J,10,0)+2,LEFT(A10,1)="4",0,AND(LEFT(A10,1)="1",J10&lt;&gt;"Y01"),VLOOKUP(A10,'表2（QC界面）'!A:J,10,0)+24,A10&lt;&gt;0,VLOOKUP(A10,'表2（QC界面）'!A:J,10,0)+4)</f>
        <v>0</v>
      </c>
      <c r="T10" s="37" t="str">
        <f>IF(OR(LEFT(A10,1)="4",LEFT(A10,1)="5"),"NA",VLOOKUP(A10,'表3（采购界面）'!A:L,12,0))</f>
        <v>NA</v>
      </c>
      <c r="U10" s="37" t="str">
        <f t="shared" si="8"/>
        <v>5000-1</v>
      </c>
      <c r="V10" s="37">
        <f t="shared" si="9"/>
        <v>1</v>
      </c>
      <c r="W10" s="37">
        <f t="shared" si="10"/>
        <v>1</v>
      </c>
      <c r="X10" s="37">
        <f t="shared" si="11"/>
        <v>25</v>
      </c>
      <c r="Y10" s="37">
        <f t="shared" si="12"/>
        <v>10</v>
      </c>
      <c r="Z10" s="37" t="str">
        <f t="shared" si="13"/>
        <v>NA</v>
      </c>
      <c r="AA10" s="37" t="str">
        <f t="shared" si="14"/>
        <v>NA</v>
      </c>
      <c r="AB10" s="37" t="str">
        <f t="shared" si="15"/>
        <v>NA</v>
      </c>
      <c r="AC10" s="37" t="str">
        <f t="shared" si="16"/>
        <v>NA</v>
      </c>
      <c r="AD10" s="37">
        <f t="shared" si="17"/>
        <v>2</v>
      </c>
      <c r="AE10" s="37" t="str">
        <f t="shared" si="18"/>
        <v>NA</v>
      </c>
      <c r="AF10" s="37" t="str">
        <f t="shared" si="19"/>
        <v>Y01</v>
      </c>
      <c r="AG10" s="37" t="str">
        <f t="shared" si="20"/>
        <v>ZJ01</v>
      </c>
    </row>
    <row r="11" spans="1:33" x14ac:dyDescent="0.2">
      <c r="A11" s="27" t="s">
        <v>231</v>
      </c>
      <c r="B11" s="27" t="s">
        <v>93</v>
      </c>
      <c r="C11" s="27" t="s">
        <v>232</v>
      </c>
      <c r="D11" s="27" t="s">
        <v>111</v>
      </c>
      <c r="E11" s="27" t="s">
        <v>236</v>
      </c>
      <c r="F11" s="27" t="s">
        <v>112</v>
      </c>
      <c r="G11" s="27" t="s">
        <v>233</v>
      </c>
      <c r="H11" s="27" t="s">
        <v>206</v>
      </c>
      <c r="I11" s="36">
        <v>1</v>
      </c>
      <c r="J11" s="37" t="s">
        <v>113</v>
      </c>
      <c r="K11" s="37" t="str">
        <f t="shared" si="2"/>
        <v>ND</v>
      </c>
      <c r="L11" s="37" t="str">
        <f t="shared" si="3"/>
        <v>EX</v>
      </c>
      <c r="M11" s="37" t="str">
        <f t="shared" si="4"/>
        <v>NA</v>
      </c>
      <c r="N11" s="37" t="str">
        <f t="shared" si="5"/>
        <v>NA</v>
      </c>
      <c r="O11" s="37" t="str">
        <f t="shared" si="6"/>
        <v>NA</v>
      </c>
      <c r="P11" s="37" t="str">
        <f>IF(A11="","",IFERROR(VLOOKUP(A11,'表3（采购界面）'!A:J,10,0),"NA"))</f>
        <v>NA</v>
      </c>
      <c r="Q11" s="37" t="str">
        <f>IF(A11="","",IFERROR(VLOOKUP(A11,'表3（采购界面）'!A:Z,11,0),"NA"))</f>
        <v>NA</v>
      </c>
      <c r="R11" s="37" t="str">
        <f t="shared" si="7"/>
        <v>E</v>
      </c>
      <c r="S11" s="37">
        <f>_xlfn.IFS(LEFT(A11,1)="5",VLOOKUP(A11,'表2（QC界面）'!A:J,10,0)+2,LEFT(A11,1)="4",0,AND(LEFT(A11,1)="1",J11&lt;&gt;"Y01"),VLOOKUP(A11,'表2（QC界面）'!A:J,10,0)+24,A11&lt;&gt;0,VLOOKUP(A11,'表2（QC界面）'!A:J,10,0)+4)</f>
        <v>0</v>
      </c>
      <c r="T11" s="37" t="str">
        <f>IF(OR(LEFT(A11,1)="4",LEFT(A11,1)="5"),"NA",VLOOKUP(A11,'表3（采购界面）'!A:L,12,0))</f>
        <v>NA</v>
      </c>
      <c r="U11" s="37" t="str">
        <f t="shared" si="8"/>
        <v>5000-1</v>
      </c>
      <c r="V11" s="37">
        <f t="shared" si="9"/>
        <v>1</v>
      </c>
      <c r="W11" s="37">
        <f t="shared" si="10"/>
        <v>1</v>
      </c>
      <c r="X11" s="37">
        <f t="shared" si="11"/>
        <v>25</v>
      </c>
      <c r="Y11" s="37">
        <f t="shared" si="12"/>
        <v>10</v>
      </c>
      <c r="Z11" s="37" t="str">
        <f t="shared" si="13"/>
        <v>NA</v>
      </c>
      <c r="AA11" s="37" t="str">
        <f t="shared" si="14"/>
        <v>NA</v>
      </c>
      <c r="AB11" s="37" t="str">
        <f t="shared" si="15"/>
        <v>NA</v>
      </c>
      <c r="AC11" s="37" t="str">
        <f t="shared" si="16"/>
        <v>NA</v>
      </c>
      <c r="AD11" s="37">
        <f t="shared" si="17"/>
        <v>2</v>
      </c>
      <c r="AE11" s="37" t="str">
        <f t="shared" si="18"/>
        <v>NA</v>
      </c>
      <c r="AF11" s="37" t="str">
        <f t="shared" si="19"/>
        <v>Y01</v>
      </c>
      <c r="AG11" s="37" t="str">
        <f t="shared" si="20"/>
        <v>ZJ01</v>
      </c>
    </row>
    <row r="12" spans="1:33" x14ac:dyDescent="0.2">
      <c r="A12" s="27" t="s">
        <v>238</v>
      </c>
      <c r="B12" s="27" t="s">
        <v>93</v>
      </c>
      <c r="C12" s="27" t="s">
        <v>239</v>
      </c>
      <c r="D12" s="27" t="s">
        <v>182</v>
      </c>
      <c r="E12" s="27" t="s">
        <v>236</v>
      </c>
      <c r="F12" s="27" t="s">
        <v>112</v>
      </c>
      <c r="G12" s="27" t="s">
        <v>182</v>
      </c>
      <c r="H12" s="27" t="s">
        <v>206</v>
      </c>
      <c r="I12" s="36">
        <v>1</v>
      </c>
      <c r="J12" s="37" t="s">
        <v>113</v>
      </c>
      <c r="K12" s="37" t="str">
        <f t="shared" si="2"/>
        <v>PD</v>
      </c>
      <c r="L12" s="37" t="str">
        <f t="shared" si="3"/>
        <v>EX</v>
      </c>
      <c r="M12" s="37" t="str">
        <f t="shared" si="4"/>
        <v>NA</v>
      </c>
      <c r="N12" s="37" t="str">
        <f t="shared" si="5"/>
        <v>NA</v>
      </c>
      <c r="O12" s="37" t="str">
        <f t="shared" si="6"/>
        <v>NA</v>
      </c>
      <c r="P12" s="37" t="str">
        <f>IF(A12="","",IFERROR(VLOOKUP(A12,'表3（采购界面）'!A:J,10,0),"NA"))</f>
        <v>NA</v>
      </c>
      <c r="Q12" s="37" t="str">
        <f>IF(A12="","",IFERROR(VLOOKUP(A12,'表3（采购界面）'!A:Z,11,0),"NA"))</f>
        <v>NA</v>
      </c>
      <c r="R12" s="37" t="str">
        <f t="shared" si="7"/>
        <v>E</v>
      </c>
      <c r="S12" s="37">
        <f>_xlfn.IFS(LEFT(A12,1)="5",VLOOKUP(A12,'表2（QC界面）'!A:J,10,0)+2,LEFT(A12,1)="4",0,AND(LEFT(A12,1)="1",J12&lt;&gt;"Y01"),VLOOKUP(A12,'表2（QC界面）'!A:J,10,0)+24,A12&lt;&gt;0,VLOOKUP(A12,'表2（QC界面）'!A:J,10,0)+4)</f>
        <v>0</v>
      </c>
      <c r="T12" s="37" t="str">
        <f>IF(OR(LEFT(A12,1)="4",LEFT(A12,1)="5"),"NA",VLOOKUP(A12,'表3（采购界面）'!A:L,12,0))</f>
        <v>NA</v>
      </c>
      <c r="U12" s="37" t="str">
        <f t="shared" si="8"/>
        <v>5000-1</v>
      </c>
      <c r="V12" s="37">
        <f t="shared" si="9"/>
        <v>1</v>
      </c>
      <c r="W12" s="37">
        <f t="shared" si="10"/>
        <v>1</v>
      </c>
      <c r="X12" s="37">
        <f t="shared" si="11"/>
        <v>25</v>
      </c>
      <c r="Y12" s="37">
        <f t="shared" si="12"/>
        <v>10</v>
      </c>
      <c r="Z12" s="37" t="str">
        <f t="shared" si="13"/>
        <v>NA</v>
      </c>
      <c r="AA12" s="37" t="str">
        <f t="shared" si="14"/>
        <v>NA</v>
      </c>
      <c r="AB12" s="37" t="str">
        <f t="shared" si="15"/>
        <v>NA</v>
      </c>
      <c r="AC12" s="37" t="str">
        <f t="shared" si="16"/>
        <v>NA</v>
      </c>
      <c r="AD12" s="37">
        <f t="shared" si="17"/>
        <v>2</v>
      </c>
      <c r="AE12" s="37" t="str">
        <f t="shared" si="18"/>
        <v>NA</v>
      </c>
      <c r="AF12" s="37" t="str">
        <f t="shared" si="19"/>
        <v>Y01</v>
      </c>
      <c r="AG12" s="37" t="str">
        <f t="shared" si="20"/>
        <v>ZJ01</v>
      </c>
    </row>
    <row r="13" spans="1:33" x14ac:dyDescent="0.2">
      <c r="A13" s="32"/>
      <c r="B13" s="32"/>
      <c r="C13" s="32"/>
      <c r="D13" s="32"/>
      <c r="E13" s="32"/>
      <c r="F13" s="32"/>
      <c r="G13" s="32"/>
      <c r="H13" s="32"/>
      <c r="I13" s="32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</row>
    <row r="14" spans="1:33" x14ac:dyDescent="0.2">
      <c r="A14" s="32"/>
      <c r="B14" s="32"/>
      <c r="C14" s="32"/>
      <c r="D14" s="32"/>
      <c r="E14" s="32"/>
      <c r="F14" s="32"/>
      <c r="G14" s="32"/>
      <c r="H14" s="32"/>
      <c r="I14" s="32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</row>
    <row r="15" spans="1:33" x14ac:dyDescent="0.2">
      <c r="A15" s="32"/>
      <c r="B15" s="32"/>
      <c r="C15" s="32"/>
      <c r="D15" s="32"/>
      <c r="E15" s="32"/>
      <c r="F15" s="32"/>
      <c r="G15" s="32"/>
      <c r="H15" s="32"/>
      <c r="I15" s="32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 spans="1:33" x14ac:dyDescent="0.2"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</row>
    <row r="17" spans="10:33" x14ac:dyDescent="0.2">
      <c r="J17" s="34"/>
      <c r="K17" s="34" t="str">
        <f t="shared" ref="K17:K69" si="21">_xlfn.IFS(AND(LEFT(A17,1)="4",D17="中国"),"ND",AND(LEFT(A17,1)="5",D17="中国"),"ND",AND(LEFT(A17,1)="5",D17&lt;&gt;"中国"),"M2",A17="","",A17&lt;&gt;"","PD")</f>
        <v/>
      </c>
      <c r="L17" s="34" t="str">
        <f t="shared" si="0"/>
        <v/>
      </c>
      <c r="M17" s="34" t="str">
        <f t="shared" ref="M17:M69" si="22">IF(OR(L17="FX",L17=""),"","NA")</f>
        <v/>
      </c>
      <c r="N17" s="34" t="str">
        <f t="shared" ref="N17:N69" si="23">IF(A17="","","NA")</f>
        <v/>
      </c>
      <c r="O17" s="34" t="str">
        <f t="shared" si="1"/>
        <v/>
      </c>
      <c r="P17" s="34" t="str">
        <f>IF(A17="","",IFERROR(VLOOKUP(A17,'表3（采购界面）'!A:J,10,0),"NA"))</f>
        <v/>
      </c>
      <c r="Q17" s="34" t="str">
        <f>IF(A17="","",IFERROR(VLOOKUP(A17,'表3（采购界面）'!A:Z,11,0),"NA"))</f>
        <v/>
      </c>
      <c r="R17" s="34" t="str">
        <f t="shared" ref="R17:R69" si="24">IF(A17="","",IF(OR(LEFT(A17,1)="1",LEFT(A17,1)="2",LEFT(A17,1)="3"),"F","E"))</f>
        <v/>
      </c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90"/>
      <c r="AD17" s="90"/>
      <c r="AE17" s="34"/>
      <c r="AF17" s="34"/>
      <c r="AG17" s="34"/>
    </row>
    <row r="18" spans="10:33" x14ac:dyDescent="0.2">
      <c r="J18" s="34"/>
      <c r="K18" s="34" t="str">
        <f t="shared" si="21"/>
        <v/>
      </c>
      <c r="L18" s="34" t="str">
        <f t="shared" si="0"/>
        <v/>
      </c>
      <c r="M18" s="34" t="str">
        <f t="shared" si="22"/>
        <v/>
      </c>
      <c r="N18" s="34" t="str">
        <f t="shared" si="23"/>
        <v/>
      </c>
      <c r="O18" s="34" t="str">
        <f t="shared" si="1"/>
        <v/>
      </c>
      <c r="P18" s="34" t="str">
        <f>IF(A18="","",IFERROR(VLOOKUP(A18,'表3（采购界面）'!A:J,10,0),"NA"))</f>
        <v/>
      </c>
      <c r="Q18" s="34" t="str">
        <f>IF(A18="","",IFERROR(VLOOKUP(A18,'表3（采购界面）'!A:Z,11,0),"NA"))</f>
        <v/>
      </c>
      <c r="R18" s="34" t="str">
        <f t="shared" si="24"/>
        <v/>
      </c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90"/>
      <c r="AD18" s="90"/>
      <c r="AE18" s="34"/>
      <c r="AF18" s="34"/>
      <c r="AG18" s="34"/>
    </row>
    <row r="19" spans="10:33" x14ac:dyDescent="0.2">
      <c r="J19" s="34"/>
      <c r="K19" s="34" t="str">
        <f t="shared" si="21"/>
        <v/>
      </c>
      <c r="L19" s="34" t="str">
        <f t="shared" si="0"/>
        <v/>
      </c>
      <c r="M19" s="34" t="str">
        <f t="shared" si="22"/>
        <v/>
      </c>
      <c r="N19" s="34" t="str">
        <f t="shared" si="23"/>
        <v/>
      </c>
      <c r="O19" s="34" t="str">
        <f t="shared" si="1"/>
        <v/>
      </c>
      <c r="P19" s="34" t="str">
        <f>IF(A19="","",IFERROR(VLOOKUP(A19,'表3（采购界面）'!A:J,10,0),"NA"))</f>
        <v/>
      </c>
      <c r="Q19" s="34" t="str">
        <f>IF(A19="","",IFERROR(VLOOKUP(A19,'表3（采购界面）'!A:Z,11,0),"NA"))</f>
        <v/>
      </c>
      <c r="R19" s="34" t="str">
        <f t="shared" si="24"/>
        <v/>
      </c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90"/>
      <c r="AD19" s="90"/>
      <c r="AE19" s="34"/>
      <c r="AF19" s="34"/>
      <c r="AG19" s="34"/>
    </row>
    <row r="20" spans="10:33" x14ac:dyDescent="0.2">
      <c r="J20" s="34"/>
      <c r="K20" s="34" t="str">
        <f t="shared" si="21"/>
        <v/>
      </c>
      <c r="L20" s="34" t="str">
        <f t="shared" si="0"/>
        <v/>
      </c>
      <c r="M20" s="34" t="str">
        <f t="shared" si="22"/>
        <v/>
      </c>
      <c r="N20" s="34" t="str">
        <f t="shared" si="23"/>
        <v/>
      </c>
      <c r="O20" s="34" t="str">
        <f t="shared" si="1"/>
        <v/>
      </c>
      <c r="P20" s="34" t="str">
        <f>IF(A20="","",IFERROR(VLOOKUP(A20,'表3（采购界面）'!A:J,10,0),"NA"))</f>
        <v/>
      </c>
      <c r="Q20" s="34" t="str">
        <f>IF(A20="","",IFERROR(VLOOKUP(A20,'表3（采购界面）'!A:Z,11,0),"NA"))</f>
        <v/>
      </c>
      <c r="R20" s="34" t="str">
        <f t="shared" si="24"/>
        <v/>
      </c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90"/>
      <c r="AD20" s="90"/>
      <c r="AE20" s="34"/>
      <c r="AF20" s="34"/>
      <c r="AG20" s="34"/>
    </row>
    <row r="21" spans="10:33" x14ac:dyDescent="0.2">
      <c r="J21" s="34"/>
      <c r="K21" s="34" t="str">
        <f t="shared" si="21"/>
        <v/>
      </c>
      <c r="L21" s="34" t="str">
        <f t="shared" si="0"/>
        <v/>
      </c>
      <c r="M21" s="34" t="str">
        <f t="shared" si="22"/>
        <v/>
      </c>
      <c r="N21" s="34" t="str">
        <f t="shared" si="23"/>
        <v/>
      </c>
      <c r="O21" s="34" t="str">
        <f t="shared" si="1"/>
        <v/>
      </c>
      <c r="P21" s="34" t="str">
        <f>IF(A21="","",IFERROR(VLOOKUP(A21,'表3（采购界面）'!A:J,10,0),"NA"))</f>
        <v/>
      </c>
      <c r="Q21" s="34" t="str">
        <f>IF(A21="","",IFERROR(VLOOKUP(A21,'表3（采购界面）'!A:Z,11,0),"NA"))</f>
        <v/>
      </c>
      <c r="R21" s="34" t="str">
        <f t="shared" si="24"/>
        <v/>
      </c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90"/>
      <c r="AD21" s="90"/>
      <c r="AE21" s="34"/>
      <c r="AF21" s="34"/>
      <c r="AG21" s="34"/>
    </row>
    <row r="22" spans="10:33" x14ac:dyDescent="0.2">
      <c r="J22" s="34"/>
      <c r="K22" s="34" t="str">
        <f t="shared" si="21"/>
        <v/>
      </c>
      <c r="L22" s="34" t="str">
        <f t="shared" si="0"/>
        <v/>
      </c>
      <c r="M22" s="34" t="str">
        <f t="shared" si="22"/>
        <v/>
      </c>
      <c r="N22" s="34" t="str">
        <f t="shared" si="23"/>
        <v/>
      </c>
      <c r="O22" s="34" t="str">
        <f t="shared" si="1"/>
        <v/>
      </c>
      <c r="P22" s="34" t="str">
        <f>IF(A22="","",IFERROR(VLOOKUP(A22,'表3（采购界面）'!A:J,10,0),"NA"))</f>
        <v/>
      </c>
      <c r="Q22" s="34" t="str">
        <f>IF(A22="","",IFERROR(VLOOKUP(A22,'表3（采购界面）'!A:Z,11,0),"NA"))</f>
        <v/>
      </c>
      <c r="R22" s="34" t="str">
        <f t="shared" si="24"/>
        <v/>
      </c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90"/>
      <c r="AD22" s="90"/>
      <c r="AE22" s="34"/>
      <c r="AF22" s="34"/>
      <c r="AG22" s="34"/>
    </row>
    <row r="23" spans="10:33" x14ac:dyDescent="0.2">
      <c r="J23" s="34"/>
      <c r="K23" s="34" t="str">
        <f t="shared" si="21"/>
        <v/>
      </c>
      <c r="L23" s="34" t="str">
        <f t="shared" si="0"/>
        <v/>
      </c>
      <c r="M23" s="34" t="str">
        <f t="shared" si="22"/>
        <v/>
      </c>
      <c r="N23" s="34" t="str">
        <f t="shared" si="23"/>
        <v/>
      </c>
      <c r="O23" s="34" t="str">
        <f t="shared" si="1"/>
        <v/>
      </c>
      <c r="P23" s="34" t="str">
        <f>IF(A23="","",IFERROR(VLOOKUP(A23,'表3（采购界面）'!A:J,10,0),"NA"))</f>
        <v/>
      </c>
      <c r="Q23" s="34" t="str">
        <f>IF(A23="","",IFERROR(VLOOKUP(A23,'表3（采购界面）'!A:Z,11,0),"NA"))</f>
        <v/>
      </c>
      <c r="R23" s="34" t="str">
        <f t="shared" si="24"/>
        <v/>
      </c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90"/>
      <c r="AE23" s="34"/>
      <c r="AF23" s="34"/>
      <c r="AG23" s="34"/>
    </row>
    <row r="24" spans="10:33" x14ac:dyDescent="0.2">
      <c r="J24" s="34"/>
      <c r="K24" s="34" t="str">
        <f t="shared" si="21"/>
        <v/>
      </c>
      <c r="L24" s="34" t="str">
        <f t="shared" si="0"/>
        <v/>
      </c>
      <c r="M24" s="34" t="str">
        <f t="shared" si="22"/>
        <v/>
      </c>
      <c r="N24" s="34" t="str">
        <f t="shared" si="23"/>
        <v/>
      </c>
      <c r="O24" s="34" t="str">
        <f t="shared" si="1"/>
        <v/>
      </c>
      <c r="P24" s="34" t="str">
        <f>IF(A24="","",IFERROR(VLOOKUP(A24,'表3（采购界面）'!A:J,10,0),"NA"))</f>
        <v/>
      </c>
      <c r="Q24" s="34" t="str">
        <f>IF(A24="","",IFERROR(VLOOKUP(A24,'表3（采购界面）'!A:Z,11,0),"NA"))</f>
        <v/>
      </c>
      <c r="R24" s="34" t="str">
        <f t="shared" si="24"/>
        <v/>
      </c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90"/>
      <c r="AD24" s="90"/>
      <c r="AE24" s="34"/>
      <c r="AF24" s="34"/>
      <c r="AG24" s="34"/>
    </row>
    <row r="25" spans="10:33" x14ac:dyDescent="0.2">
      <c r="J25" s="34"/>
      <c r="K25" s="34" t="str">
        <f t="shared" si="21"/>
        <v/>
      </c>
      <c r="L25" s="34" t="str">
        <f t="shared" si="0"/>
        <v/>
      </c>
      <c r="M25" s="34" t="str">
        <f t="shared" si="22"/>
        <v/>
      </c>
      <c r="N25" s="34" t="str">
        <f t="shared" si="23"/>
        <v/>
      </c>
      <c r="O25" s="34" t="str">
        <f t="shared" si="1"/>
        <v/>
      </c>
      <c r="P25" s="34" t="str">
        <f>IF(A25="","",IFERROR(VLOOKUP(A25,'表3（采购界面）'!A:J,10,0),"NA"))</f>
        <v/>
      </c>
      <c r="Q25" s="34" t="str">
        <f>IF(A25="","",IFERROR(VLOOKUP(A25,'表3（采购界面）'!A:Z,11,0),"NA"))</f>
        <v/>
      </c>
      <c r="R25" s="34" t="str">
        <f t="shared" si="24"/>
        <v/>
      </c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90"/>
      <c r="AD25" s="90"/>
      <c r="AE25" s="34"/>
      <c r="AF25" s="34"/>
      <c r="AG25" s="34"/>
    </row>
    <row r="26" spans="10:33" x14ac:dyDescent="0.2">
      <c r="J26" s="34"/>
      <c r="K26" s="34" t="str">
        <f t="shared" si="21"/>
        <v/>
      </c>
      <c r="L26" s="34" t="str">
        <f t="shared" si="0"/>
        <v/>
      </c>
      <c r="M26" s="34" t="str">
        <f t="shared" si="22"/>
        <v/>
      </c>
      <c r="N26" s="34" t="str">
        <f t="shared" si="23"/>
        <v/>
      </c>
      <c r="O26" s="34" t="str">
        <f t="shared" si="1"/>
        <v/>
      </c>
      <c r="P26" s="34" t="str">
        <f>IF(A26="","",IFERROR(VLOOKUP(A26,'表3（采购界面）'!A:J,10,0),"NA"))</f>
        <v/>
      </c>
      <c r="Q26" s="34" t="str">
        <f>IF(A26="","",IFERROR(VLOOKUP(A26,'表3（采购界面）'!A:Z,11,0),"NA"))</f>
        <v/>
      </c>
      <c r="R26" s="34" t="str">
        <f t="shared" si="24"/>
        <v/>
      </c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90"/>
      <c r="AD26" s="90"/>
      <c r="AE26" s="34"/>
      <c r="AF26" s="34"/>
      <c r="AG26" s="34"/>
    </row>
    <row r="27" spans="10:33" x14ac:dyDescent="0.2">
      <c r="J27" s="34"/>
      <c r="K27" s="34" t="str">
        <f t="shared" si="21"/>
        <v/>
      </c>
      <c r="L27" s="34" t="str">
        <f t="shared" si="0"/>
        <v/>
      </c>
      <c r="M27" s="34" t="str">
        <f t="shared" si="22"/>
        <v/>
      </c>
      <c r="N27" s="34" t="str">
        <f t="shared" si="23"/>
        <v/>
      </c>
      <c r="O27" s="34" t="str">
        <f t="shared" si="1"/>
        <v/>
      </c>
      <c r="P27" s="34" t="str">
        <f>IF(A27="","",IFERROR(VLOOKUP(A27,'表3（采购界面）'!A:J,10,0),"NA"))</f>
        <v/>
      </c>
      <c r="Q27" s="34" t="str">
        <f>IF(A27="","",IFERROR(VLOOKUP(A27,'表3（采购界面）'!A:Z,11,0),"NA"))</f>
        <v/>
      </c>
      <c r="R27" s="34" t="str">
        <f t="shared" si="24"/>
        <v/>
      </c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90"/>
      <c r="AD27" s="90"/>
      <c r="AE27" s="34"/>
      <c r="AF27" s="34"/>
      <c r="AG27" s="34"/>
    </row>
    <row r="28" spans="10:33" x14ac:dyDescent="0.2">
      <c r="J28" s="34"/>
      <c r="K28" s="34" t="str">
        <f t="shared" si="21"/>
        <v/>
      </c>
      <c r="L28" s="34" t="str">
        <f t="shared" si="0"/>
        <v/>
      </c>
      <c r="M28" s="34" t="str">
        <f t="shared" si="22"/>
        <v/>
      </c>
      <c r="N28" s="34" t="str">
        <f t="shared" si="23"/>
        <v/>
      </c>
      <c r="O28" s="34" t="str">
        <f t="shared" si="1"/>
        <v/>
      </c>
      <c r="P28" s="34" t="str">
        <f>IF(A28="","",IFERROR(VLOOKUP(A28,'表3（采购界面）'!A:J,10,0),"NA"))</f>
        <v/>
      </c>
      <c r="Q28" s="34" t="str">
        <f>IF(A28="","",IFERROR(VLOOKUP(A28,'表3（采购界面）'!A:Z,11,0),"NA"))</f>
        <v/>
      </c>
      <c r="R28" s="34" t="str">
        <f t="shared" si="24"/>
        <v/>
      </c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90"/>
      <c r="AE28" s="34"/>
      <c r="AF28" s="34"/>
      <c r="AG28" s="34"/>
    </row>
    <row r="29" spans="10:33" x14ac:dyDescent="0.2">
      <c r="J29" s="34"/>
      <c r="K29" s="34" t="str">
        <f t="shared" si="21"/>
        <v/>
      </c>
      <c r="L29" s="34" t="str">
        <f t="shared" si="0"/>
        <v/>
      </c>
      <c r="M29" s="34" t="str">
        <f t="shared" si="22"/>
        <v/>
      </c>
      <c r="N29" s="34" t="str">
        <f t="shared" si="23"/>
        <v/>
      </c>
      <c r="O29" s="34" t="str">
        <f t="shared" si="1"/>
        <v/>
      </c>
      <c r="P29" s="34" t="str">
        <f>IF(A29="","",IFERROR(VLOOKUP(A29,'表3（采购界面）'!A:J,10,0),"NA"))</f>
        <v/>
      </c>
      <c r="Q29" s="34" t="str">
        <f>IF(A29="","",IFERROR(VLOOKUP(A29,'表3（采购界面）'!A:Z,11,0),"NA"))</f>
        <v/>
      </c>
      <c r="R29" s="34" t="str">
        <f t="shared" si="24"/>
        <v/>
      </c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</row>
    <row r="30" spans="10:33" x14ac:dyDescent="0.2">
      <c r="J30" s="34"/>
      <c r="K30" s="34" t="str">
        <f t="shared" si="21"/>
        <v/>
      </c>
      <c r="L30" s="34" t="str">
        <f t="shared" si="0"/>
        <v/>
      </c>
      <c r="M30" s="34" t="str">
        <f t="shared" si="22"/>
        <v/>
      </c>
      <c r="N30" s="34" t="str">
        <f t="shared" si="23"/>
        <v/>
      </c>
      <c r="O30" s="34" t="str">
        <f t="shared" si="1"/>
        <v/>
      </c>
      <c r="P30" s="34" t="str">
        <f>IF(A30="","",IFERROR(VLOOKUP(A30,'表3（采购界面）'!A:J,10,0),"NA"))</f>
        <v/>
      </c>
      <c r="Q30" s="34" t="str">
        <f>IF(A30="","",IFERROR(VLOOKUP(A30,'表3（采购界面）'!A:Z,11,0),"NA"))</f>
        <v/>
      </c>
      <c r="R30" s="34" t="str">
        <f t="shared" si="24"/>
        <v/>
      </c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34"/>
      <c r="AE30" s="34"/>
      <c r="AF30" s="34"/>
      <c r="AG30" s="34"/>
    </row>
    <row r="31" spans="10:33" x14ac:dyDescent="0.2">
      <c r="J31" s="34"/>
      <c r="K31" s="34" t="str">
        <f t="shared" si="21"/>
        <v/>
      </c>
      <c r="L31" s="34" t="str">
        <f t="shared" si="0"/>
        <v/>
      </c>
      <c r="M31" s="34" t="str">
        <f t="shared" si="22"/>
        <v/>
      </c>
      <c r="N31" s="34" t="str">
        <f t="shared" si="23"/>
        <v/>
      </c>
      <c r="O31" s="34" t="str">
        <f t="shared" si="1"/>
        <v/>
      </c>
      <c r="P31" s="34" t="str">
        <f>IF(A31="","",IFERROR(VLOOKUP(A31,'表3（采购界面）'!A:J,10,0),"NA"))</f>
        <v/>
      </c>
      <c r="Q31" s="34" t="str">
        <f>IF(A31="","",IFERROR(VLOOKUP(A31,'表3（采购界面）'!A:Z,11,0),"NA"))</f>
        <v/>
      </c>
      <c r="R31" s="34" t="str">
        <f t="shared" si="24"/>
        <v/>
      </c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</row>
    <row r="32" spans="10:33" x14ac:dyDescent="0.2">
      <c r="J32" s="34"/>
      <c r="K32" s="34" t="str">
        <f t="shared" si="21"/>
        <v/>
      </c>
      <c r="L32" s="34" t="str">
        <f t="shared" si="0"/>
        <v/>
      </c>
      <c r="M32" s="34" t="str">
        <f t="shared" si="22"/>
        <v/>
      </c>
      <c r="N32" s="34" t="str">
        <f t="shared" si="23"/>
        <v/>
      </c>
      <c r="O32" s="34" t="str">
        <f t="shared" si="1"/>
        <v/>
      </c>
      <c r="P32" s="34" t="str">
        <f>IF(A32="","",IFERROR(VLOOKUP(A32,'表3（采购界面）'!A:J,10,0),"NA"))</f>
        <v/>
      </c>
      <c r="Q32" s="34" t="str">
        <f>IF(A32="","",IFERROR(VLOOKUP(A32,'表3（采购界面）'!A:Z,11,0),"NA"))</f>
        <v/>
      </c>
      <c r="R32" s="34" t="str">
        <f t="shared" si="24"/>
        <v/>
      </c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</row>
    <row r="33" spans="10:33" x14ac:dyDescent="0.2">
      <c r="J33" s="34"/>
      <c r="K33" s="34" t="str">
        <f t="shared" si="21"/>
        <v/>
      </c>
      <c r="L33" s="34" t="str">
        <f t="shared" si="0"/>
        <v/>
      </c>
      <c r="M33" s="34" t="str">
        <f t="shared" si="22"/>
        <v/>
      </c>
      <c r="N33" s="34" t="str">
        <f t="shared" si="23"/>
        <v/>
      </c>
      <c r="O33" s="34" t="str">
        <f t="shared" si="1"/>
        <v/>
      </c>
      <c r="P33" s="34" t="str">
        <f>IF(A33="","",IFERROR(VLOOKUP(A33,'表3（采购界面）'!A:J,10,0),"NA"))</f>
        <v/>
      </c>
      <c r="Q33" s="34" t="str">
        <f>IF(A33="","",IFERROR(VLOOKUP(A33,'表3（采购界面）'!A:Z,11,0),"NA"))</f>
        <v/>
      </c>
      <c r="R33" s="34" t="str">
        <f t="shared" si="24"/>
        <v/>
      </c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</row>
    <row r="34" spans="10:33" x14ac:dyDescent="0.2">
      <c r="J34" s="34"/>
      <c r="K34" s="34" t="str">
        <f t="shared" si="21"/>
        <v/>
      </c>
      <c r="L34" s="34" t="str">
        <f t="shared" si="0"/>
        <v/>
      </c>
      <c r="M34" s="34" t="str">
        <f t="shared" si="22"/>
        <v/>
      </c>
      <c r="N34" s="34" t="str">
        <f t="shared" si="23"/>
        <v/>
      </c>
      <c r="O34" s="34" t="str">
        <f t="shared" si="1"/>
        <v/>
      </c>
      <c r="P34" s="34" t="str">
        <f>IF(A34="","",IFERROR(VLOOKUP(A34,'表3（采购界面）'!A:J,10,0),"NA"))</f>
        <v/>
      </c>
      <c r="Q34" s="34" t="str">
        <f>IF(A34="","",IFERROR(VLOOKUP(A34,'表3（采购界面）'!A:Z,11,0),"NA"))</f>
        <v/>
      </c>
      <c r="R34" s="34" t="str">
        <f t="shared" si="24"/>
        <v/>
      </c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  <c r="AF34" s="34"/>
      <c r="AG34" s="34"/>
    </row>
    <row r="35" spans="10:33" x14ac:dyDescent="0.2">
      <c r="J35" s="34"/>
      <c r="K35" s="34" t="str">
        <f t="shared" si="21"/>
        <v/>
      </c>
      <c r="L35" s="34" t="str">
        <f t="shared" si="0"/>
        <v/>
      </c>
      <c r="M35" s="34" t="str">
        <f t="shared" si="22"/>
        <v/>
      </c>
      <c r="N35" s="34" t="str">
        <f t="shared" si="23"/>
        <v/>
      </c>
      <c r="O35" s="34" t="str">
        <f t="shared" si="1"/>
        <v/>
      </c>
      <c r="P35" s="34" t="str">
        <f>IF(A35="","",IFERROR(VLOOKUP(A35,'表3（采购界面）'!A:J,10,0),"NA"))</f>
        <v/>
      </c>
      <c r="Q35" s="34" t="str">
        <f>IF(A35="","",IFERROR(VLOOKUP(A35,'表3（采购界面）'!A:Z,11,0),"NA"))</f>
        <v/>
      </c>
      <c r="R35" s="34" t="str">
        <f t="shared" si="24"/>
        <v/>
      </c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</row>
    <row r="36" spans="10:33" x14ac:dyDescent="0.2">
      <c r="J36" s="34"/>
      <c r="K36" s="34" t="str">
        <f t="shared" si="21"/>
        <v/>
      </c>
      <c r="L36" s="34" t="str">
        <f t="shared" si="0"/>
        <v/>
      </c>
      <c r="M36" s="34" t="str">
        <f t="shared" si="22"/>
        <v/>
      </c>
      <c r="N36" s="34" t="str">
        <f t="shared" si="23"/>
        <v/>
      </c>
      <c r="O36" s="34" t="str">
        <f t="shared" si="1"/>
        <v/>
      </c>
      <c r="P36" s="34" t="str">
        <f>IF(A36="","",IFERROR(VLOOKUP(A36,'表3（采购界面）'!A:J,10,0),"NA"))</f>
        <v/>
      </c>
      <c r="Q36" s="34" t="str">
        <f>IF(A36="","",IFERROR(VLOOKUP(A36,'表3（采购界面）'!A:Z,11,0),"NA"))</f>
        <v/>
      </c>
      <c r="R36" s="34" t="str">
        <f t="shared" si="24"/>
        <v/>
      </c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</row>
    <row r="37" spans="10:33" x14ac:dyDescent="0.2">
      <c r="J37" s="34"/>
      <c r="K37" s="34" t="str">
        <f t="shared" si="21"/>
        <v/>
      </c>
      <c r="L37" s="34" t="str">
        <f t="shared" si="0"/>
        <v/>
      </c>
      <c r="M37" s="34" t="str">
        <f t="shared" si="22"/>
        <v/>
      </c>
      <c r="N37" s="34" t="str">
        <f t="shared" si="23"/>
        <v/>
      </c>
      <c r="O37" s="34" t="str">
        <f t="shared" si="1"/>
        <v/>
      </c>
      <c r="P37" s="34" t="str">
        <f>IF(A37="","",IFERROR(VLOOKUP(A37,'表3（采购界面）'!A:J,10,0),"NA"))</f>
        <v/>
      </c>
      <c r="Q37" s="34" t="str">
        <f>IF(A37="","",IFERROR(VLOOKUP(A37,'表3（采购界面）'!A:Z,11,0),"NA"))</f>
        <v/>
      </c>
      <c r="R37" s="34" t="str">
        <f t="shared" si="24"/>
        <v/>
      </c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</row>
    <row r="38" spans="10:33" x14ac:dyDescent="0.2">
      <c r="J38" s="34"/>
      <c r="K38" s="34" t="str">
        <f t="shared" si="21"/>
        <v/>
      </c>
      <c r="L38" s="34" t="str">
        <f t="shared" si="0"/>
        <v/>
      </c>
      <c r="M38" s="34" t="str">
        <f t="shared" si="22"/>
        <v/>
      </c>
      <c r="N38" s="34" t="str">
        <f t="shared" si="23"/>
        <v/>
      </c>
      <c r="O38" s="34" t="str">
        <f t="shared" si="1"/>
        <v/>
      </c>
      <c r="P38" s="34" t="str">
        <f>IF(A38="","",IFERROR(VLOOKUP(A38,'表3（采购界面）'!A:J,10,0),"NA"))</f>
        <v/>
      </c>
      <c r="Q38" s="34" t="str">
        <f>IF(A38="","",IFERROR(VLOOKUP(A38,'表3（采购界面）'!A:Z,11,0),"NA"))</f>
        <v/>
      </c>
      <c r="R38" s="34" t="str">
        <f t="shared" si="24"/>
        <v/>
      </c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</row>
    <row r="39" spans="10:33" x14ac:dyDescent="0.2">
      <c r="J39" s="34"/>
      <c r="K39" s="34" t="str">
        <f t="shared" si="21"/>
        <v/>
      </c>
      <c r="L39" s="34" t="str">
        <f t="shared" si="0"/>
        <v/>
      </c>
      <c r="M39" s="34" t="str">
        <f t="shared" si="22"/>
        <v/>
      </c>
      <c r="N39" s="34" t="str">
        <f t="shared" si="23"/>
        <v/>
      </c>
      <c r="O39" s="34" t="str">
        <f t="shared" si="1"/>
        <v/>
      </c>
      <c r="P39" s="34" t="str">
        <f>IF(A39="","",IFERROR(VLOOKUP(A39,'表3（采购界面）'!A:J,10,0),"NA"))</f>
        <v/>
      </c>
      <c r="Q39" s="34" t="str">
        <f>IF(A39="","",IFERROR(VLOOKUP(A39,'表3（采购界面）'!A:Z,11,0),"NA"))</f>
        <v/>
      </c>
      <c r="R39" s="34" t="str">
        <f t="shared" si="24"/>
        <v/>
      </c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</row>
    <row r="40" spans="10:33" x14ac:dyDescent="0.2">
      <c r="J40" s="34"/>
      <c r="K40" s="34" t="str">
        <f t="shared" si="21"/>
        <v/>
      </c>
      <c r="L40" s="34" t="str">
        <f t="shared" si="0"/>
        <v/>
      </c>
      <c r="M40" s="34" t="str">
        <f t="shared" si="22"/>
        <v/>
      </c>
      <c r="N40" s="34" t="str">
        <f t="shared" si="23"/>
        <v/>
      </c>
      <c r="O40" s="34" t="str">
        <f t="shared" si="1"/>
        <v/>
      </c>
      <c r="P40" s="34" t="str">
        <f>IF(A40="","",IFERROR(VLOOKUP(A40,'表3（采购界面）'!A:J,10,0),"NA"))</f>
        <v/>
      </c>
      <c r="Q40" s="34" t="str">
        <f>IF(A40="","",IFERROR(VLOOKUP(A40,'表3（采购界面）'!A:Z,11,0),"NA"))</f>
        <v/>
      </c>
      <c r="R40" s="34" t="str">
        <f t="shared" si="24"/>
        <v/>
      </c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</row>
    <row r="41" spans="10:33" x14ac:dyDescent="0.2">
      <c r="J41" s="34"/>
      <c r="K41" s="34" t="str">
        <f t="shared" si="21"/>
        <v/>
      </c>
      <c r="L41" s="34" t="str">
        <f t="shared" si="0"/>
        <v/>
      </c>
      <c r="M41" s="34" t="str">
        <f t="shared" si="22"/>
        <v/>
      </c>
      <c r="N41" s="34" t="str">
        <f t="shared" si="23"/>
        <v/>
      </c>
      <c r="O41" s="34" t="str">
        <f t="shared" si="1"/>
        <v/>
      </c>
      <c r="P41" s="34" t="str">
        <f>IF(A41="","",IFERROR(VLOOKUP(A41,'表3（采购界面）'!A:J,10,0),"NA"))</f>
        <v/>
      </c>
      <c r="Q41" s="34" t="str">
        <f>IF(A41="","",IFERROR(VLOOKUP(A41,'表3（采购界面）'!A:Z,11,0),"NA"))</f>
        <v/>
      </c>
      <c r="R41" s="34" t="str">
        <f t="shared" si="24"/>
        <v/>
      </c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</row>
    <row r="42" spans="10:33" x14ac:dyDescent="0.2">
      <c r="J42" s="34"/>
      <c r="K42" s="34" t="str">
        <f t="shared" si="21"/>
        <v/>
      </c>
      <c r="L42" s="34" t="str">
        <f t="shared" si="0"/>
        <v/>
      </c>
      <c r="M42" s="34" t="str">
        <f t="shared" si="22"/>
        <v/>
      </c>
      <c r="N42" s="34" t="str">
        <f t="shared" si="23"/>
        <v/>
      </c>
      <c r="O42" s="34" t="str">
        <f t="shared" si="1"/>
        <v/>
      </c>
      <c r="P42" s="34" t="str">
        <f>IF(A42="","",IFERROR(VLOOKUP(A42,'表3（采购界面）'!A:J,10,0),"NA"))</f>
        <v/>
      </c>
      <c r="Q42" s="34" t="str">
        <f>IF(A42="","",IFERROR(VLOOKUP(A42,'表3（采购界面）'!A:Z,11,0),"NA"))</f>
        <v/>
      </c>
      <c r="R42" s="34" t="str">
        <f t="shared" si="24"/>
        <v/>
      </c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</row>
    <row r="43" spans="10:33" x14ac:dyDescent="0.2">
      <c r="J43" s="34"/>
      <c r="K43" s="34" t="str">
        <f t="shared" si="21"/>
        <v/>
      </c>
      <c r="L43" s="34" t="str">
        <f t="shared" si="0"/>
        <v/>
      </c>
      <c r="M43" s="34" t="str">
        <f t="shared" si="22"/>
        <v/>
      </c>
      <c r="N43" s="34" t="str">
        <f t="shared" si="23"/>
        <v/>
      </c>
      <c r="O43" s="34" t="str">
        <f t="shared" si="1"/>
        <v/>
      </c>
      <c r="P43" s="34" t="str">
        <f>IF(A43="","",IFERROR(VLOOKUP(A43,'表3（采购界面）'!A:J,10,0),"NA"))</f>
        <v/>
      </c>
      <c r="Q43" s="34" t="str">
        <f>IF(A43="","",IFERROR(VLOOKUP(A43,'表3（采购界面）'!A:Z,11,0),"NA"))</f>
        <v/>
      </c>
      <c r="R43" s="34" t="str">
        <f t="shared" si="24"/>
        <v/>
      </c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</row>
    <row r="44" spans="10:33" x14ac:dyDescent="0.2">
      <c r="J44" s="34"/>
      <c r="K44" s="34" t="str">
        <f t="shared" si="21"/>
        <v/>
      </c>
      <c r="L44" s="34" t="str">
        <f t="shared" si="0"/>
        <v/>
      </c>
      <c r="M44" s="34" t="str">
        <f t="shared" si="22"/>
        <v/>
      </c>
      <c r="N44" s="34" t="str">
        <f t="shared" si="23"/>
        <v/>
      </c>
      <c r="O44" s="34" t="str">
        <f t="shared" si="1"/>
        <v/>
      </c>
      <c r="P44" s="34" t="str">
        <f>IF(A44="","",IFERROR(VLOOKUP(A44,'表3（采购界面）'!A:J,10,0),"NA"))</f>
        <v/>
      </c>
      <c r="Q44" s="34" t="str">
        <f>IF(A44="","",IFERROR(VLOOKUP(A44,'表3（采购界面）'!A:Z,11,0),"NA"))</f>
        <v/>
      </c>
      <c r="R44" s="34" t="str">
        <f t="shared" si="24"/>
        <v/>
      </c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</row>
    <row r="45" spans="10:33" x14ac:dyDescent="0.2">
      <c r="J45" s="34"/>
      <c r="K45" s="34" t="str">
        <f t="shared" si="21"/>
        <v/>
      </c>
      <c r="L45" s="34" t="str">
        <f t="shared" si="0"/>
        <v/>
      </c>
      <c r="M45" s="34" t="str">
        <f t="shared" si="22"/>
        <v/>
      </c>
      <c r="N45" s="34" t="str">
        <f t="shared" si="23"/>
        <v/>
      </c>
      <c r="O45" s="34" t="str">
        <f t="shared" si="1"/>
        <v/>
      </c>
      <c r="P45" s="34" t="str">
        <f>IF(A45="","",IFERROR(VLOOKUP(A45,'表3（采购界面）'!A:J,10,0),"NA"))</f>
        <v/>
      </c>
      <c r="Q45" s="34" t="str">
        <f>IF(A45="","",IFERROR(VLOOKUP(A45,'表3（采购界面）'!A:Z,11,0),"NA"))</f>
        <v/>
      </c>
      <c r="R45" s="34" t="str">
        <f t="shared" si="24"/>
        <v/>
      </c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</row>
    <row r="46" spans="10:33" x14ac:dyDescent="0.2">
      <c r="J46" s="34"/>
      <c r="K46" s="34" t="str">
        <f t="shared" si="21"/>
        <v/>
      </c>
      <c r="L46" s="34" t="str">
        <f t="shared" si="0"/>
        <v/>
      </c>
      <c r="M46" s="34" t="str">
        <f t="shared" si="22"/>
        <v/>
      </c>
      <c r="N46" s="34" t="str">
        <f t="shared" si="23"/>
        <v/>
      </c>
      <c r="O46" s="34" t="str">
        <f t="shared" si="1"/>
        <v/>
      </c>
      <c r="P46" s="34" t="str">
        <f>IF(A46="","",IFERROR(VLOOKUP(A46,'表3（采购界面）'!A:J,10,0),"NA"))</f>
        <v/>
      </c>
      <c r="Q46" s="34" t="str">
        <f>IF(A46="","",IFERROR(VLOOKUP(A46,'表3（采购界面）'!A:Z,11,0),"NA"))</f>
        <v/>
      </c>
      <c r="R46" s="34" t="str">
        <f t="shared" si="24"/>
        <v/>
      </c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</row>
    <row r="47" spans="10:33" x14ac:dyDescent="0.2">
      <c r="J47" s="34"/>
      <c r="K47" s="34" t="str">
        <f t="shared" si="21"/>
        <v/>
      </c>
      <c r="L47" s="34" t="str">
        <f t="shared" si="0"/>
        <v/>
      </c>
      <c r="M47" s="34" t="str">
        <f t="shared" si="22"/>
        <v/>
      </c>
      <c r="N47" s="34" t="str">
        <f t="shared" si="23"/>
        <v/>
      </c>
      <c r="O47" s="34" t="str">
        <f t="shared" si="1"/>
        <v/>
      </c>
      <c r="P47" s="34" t="str">
        <f>IF(A47="","",IFERROR(VLOOKUP(A47,'表3（采购界面）'!A:J,10,0),"NA"))</f>
        <v/>
      </c>
      <c r="Q47" s="34" t="str">
        <f>IF(A47="","",IFERROR(VLOOKUP(A47,'表3（采购界面）'!A:Z,11,0),"NA"))</f>
        <v/>
      </c>
      <c r="R47" s="34" t="str">
        <f t="shared" si="24"/>
        <v/>
      </c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</row>
    <row r="48" spans="10:33" x14ac:dyDescent="0.2">
      <c r="J48" s="34"/>
      <c r="K48" s="34" t="str">
        <f t="shared" si="21"/>
        <v/>
      </c>
      <c r="L48" s="34" t="str">
        <f t="shared" si="0"/>
        <v/>
      </c>
      <c r="M48" s="34" t="str">
        <f t="shared" si="22"/>
        <v/>
      </c>
      <c r="N48" s="34" t="str">
        <f t="shared" si="23"/>
        <v/>
      </c>
      <c r="O48" s="34" t="str">
        <f t="shared" si="1"/>
        <v/>
      </c>
      <c r="P48" s="34" t="str">
        <f>IF(A48="","",IFERROR(VLOOKUP(A48,'表3（采购界面）'!A:J,10,0),"NA"))</f>
        <v/>
      </c>
      <c r="Q48" s="34" t="str">
        <f>IF(A48="","",IFERROR(VLOOKUP(A48,'表3（采购界面）'!A:Z,11,0),"NA"))</f>
        <v/>
      </c>
      <c r="R48" s="34" t="str">
        <f t="shared" si="24"/>
        <v/>
      </c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</row>
    <row r="49" spans="10:33" x14ac:dyDescent="0.2">
      <c r="J49" s="34"/>
      <c r="K49" s="34" t="str">
        <f t="shared" si="21"/>
        <v/>
      </c>
      <c r="L49" s="34" t="str">
        <f t="shared" si="0"/>
        <v/>
      </c>
      <c r="M49" s="34" t="str">
        <f t="shared" si="22"/>
        <v/>
      </c>
      <c r="N49" s="34" t="str">
        <f t="shared" si="23"/>
        <v/>
      </c>
      <c r="O49" s="34" t="str">
        <f t="shared" si="1"/>
        <v/>
      </c>
      <c r="P49" s="34" t="str">
        <f>IF(A49="","",IFERROR(VLOOKUP(A49,'表3（采购界面）'!A:J,10,0),"NA"))</f>
        <v/>
      </c>
      <c r="Q49" s="34" t="str">
        <f>IF(A49="","",IFERROR(VLOOKUP(A49,'表3（采购界面）'!A:Z,11,0),"NA"))</f>
        <v/>
      </c>
      <c r="R49" s="34" t="str">
        <f t="shared" si="24"/>
        <v/>
      </c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</row>
    <row r="50" spans="10:33" x14ac:dyDescent="0.2">
      <c r="J50" s="34"/>
      <c r="K50" s="34" t="str">
        <f t="shared" si="21"/>
        <v/>
      </c>
      <c r="L50" s="34" t="str">
        <f t="shared" si="0"/>
        <v/>
      </c>
      <c r="M50" s="34" t="str">
        <f t="shared" si="22"/>
        <v/>
      </c>
      <c r="N50" s="34" t="str">
        <f t="shared" si="23"/>
        <v/>
      </c>
      <c r="O50" s="34" t="str">
        <f t="shared" si="1"/>
        <v/>
      </c>
      <c r="P50" s="34" t="str">
        <f>IF(A50="","",IFERROR(VLOOKUP(A50,'表3（采购界面）'!A:J,10,0),"NA"))</f>
        <v/>
      </c>
      <c r="Q50" s="34" t="str">
        <f>IF(A50="","",IFERROR(VLOOKUP(A50,'表3（采购界面）'!A:Z,11,0),"NA"))</f>
        <v/>
      </c>
      <c r="R50" s="34" t="str">
        <f t="shared" si="24"/>
        <v/>
      </c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</row>
    <row r="51" spans="10:33" x14ac:dyDescent="0.2">
      <c r="J51" s="34"/>
      <c r="K51" s="34" t="str">
        <f t="shared" si="21"/>
        <v/>
      </c>
      <c r="L51" s="34" t="str">
        <f t="shared" si="0"/>
        <v/>
      </c>
      <c r="M51" s="34" t="str">
        <f t="shared" si="22"/>
        <v/>
      </c>
      <c r="N51" s="34" t="str">
        <f t="shared" si="23"/>
        <v/>
      </c>
      <c r="O51" s="34" t="str">
        <f t="shared" si="1"/>
        <v/>
      </c>
      <c r="P51" s="34" t="str">
        <f>IF(A51="","",IFERROR(VLOOKUP(A51,'表3（采购界面）'!A:J,10,0),"NA"))</f>
        <v/>
      </c>
      <c r="Q51" s="34" t="str">
        <f>IF(A51="","",IFERROR(VLOOKUP(A51,'表3（采购界面）'!A:Z,11,0),"NA"))</f>
        <v/>
      </c>
      <c r="R51" s="34" t="str">
        <f t="shared" si="24"/>
        <v/>
      </c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</row>
    <row r="52" spans="10:33" x14ac:dyDescent="0.2">
      <c r="J52" s="34"/>
      <c r="K52" s="34" t="str">
        <f t="shared" si="21"/>
        <v/>
      </c>
      <c r="L52" s="34" t="str">
        <f t="shared" si="0"/>
        <v/>
      </c>
      <c r="M52" s="34" t="str">
        <f t="shared" si="22"/>
        <v/>
      </c>
      <c r="N52" s="34" t="str">
        <f t="shared" si="23"/>
        <v/>
      </c>
      <c r="O52" s="34" t="str">
        <f t="shared" si="1"/>
        <v/>
      </c>
      <c r="P52" s="34" t="str">
        <f>IF(A52="","",IFERROR(VLOOKUP(A52,'表3（采购界面）'!A:J,10,0),"NA"))</f>
        <v/>
      </c>
      <c r="Q52" s="34" t="str">
        <f>IF(A52="","",IFERROR(VLOOKUP(A52,'表3（采购界面）'!A:Z,11,0),"NA"))</f>
        <v/>
      </c>
      <c r="R52" s="34" t="str">
        <f t="shared" si="24"/>
        <v/>
      </c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</row>
    <row r="53" spans="10:33" x14ac:dyDescent="0.2">
      <c r="J53" s="34"/>
      <c r="K53" s="34" t="str">
        <f t="shared" si="21"/>
        <v/>
      </c>
      <c r="L53" s="34" t="str">
        <f t="shared" si="0"/>
        <v/>
      </c>
      <c r="M53" s="34" t="str">
        <f t="shared" si="22"/>
        <v/>
      </c>
      <c r="N53" s="34" t="str">
        <f t="shared" si="23"/>
        <v/>
      </c>
      <c r="O53" s="34" t="str">
        <f t="shared" si="1"/>
        <v/>
      </c>
      <c r="P53" s="34" t="str">
        <f>IF(A53="","",IFERROR(VLOOKUP(A53,'表3（采购界面）'!A:J,10,0),"NA"))</f>
        <v/>
      </c>
      <c r="Q53" s="34" t="str">
        <f>IF(A53="","",IFERROR(VLOOKUP(A53,'表3（采购界面）'!A:Z,11,0),"NA"))</f>
        <v/>
      </c>
      <c r="R53" s="34" t="str">
        <f t="shared" si="24"/>
        <v/>
      </c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</row>
    <row r="54" spans="10:33" x14ac:dyDescent="0.2">
      <c r="J54" s="34"/>
      <c r="K54" s="34" t="str">
        <f t="shared" si="21"/>
        <v/>
      </c>
      <c r="L54" s="34" t="str">
        <f t="shared" si="0"/>
        <v/>
      </c>
      <c r="M54" s="34" t="str">
        <f t="shared" si="22"/>
        <v/>
      </c>
      <c r="N54" s="34" t="str">
        <f t="shared" si="23"/>
        <v/>
      </c>
      <c r="O54" s="34" t="str">
        <f t="shared" si="1"/>
        <v/>
      </c>
      <c r="P54" s="34" t="str">
        <f>IF(A54="","",IFERROR(VLOOKUP(A54,'表3（采购界面）'!A:J,10,0),"NA"))</f>
        <v/>
      </c>
      <c r="Q54" s="34" t="str">
        <f>IF(A54="","",IFERROR(VLOOKUP(A54,'表3（采购界面）'!A:Z,11,0),"NA"))</f>
        <v/>
      </c>
      <c r="R54" s="34" t="str">
        <f t="shared" si="24"/>
        <v/>
      </c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</row>
    <row r="55" spans="10:33" x14ac:dyDescent="0.2">
      <c r="J55" s="34"/>
      <c r="K55" s="34" t="str">
        <f t="shared" si="21"/>
        <v/>
      </c>
      <c r="L55" s="34" t="str">
        <f t="shared" si="0"/>
        <v/>
      </c>
      <c r="M55" s="34" t="str">
        <f t="shared" si="22"/>
        <v/>
      </c>
      <c r="N55" s="34" t="str">
        <f t="shared" si="23"/>
        <v/>
      </c>
      <c r="O55" s="34" t="str">
        <f t="shared" si="1"/>
        <v/>
      </c>
      <c r="P55" s="34" t="str">
        <f>IF(A55="","",IFERROR(VLOOKUP(A55,'表3（采购界面）'!A:J,10,0),"NA"))</f>
        <v/>
      </c>
      <c r="Q55" s="34" t="str">
        <f>IF(A55="","",IFERROR(VLOOKUP(A55,'表3（采购界面）'!A:Z,11,0),"NA"))</f>
        <v/>
      </c>
      <c r="R55" s="34" t="str">
        <f t="shared" si="24"/>
        <v/>
      </c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</row>
    <row r="56" spans="10:33" x14ac:dyDescent="0.2">
      <c r="J56" s="34"/>
      <c r="K56" s="34" t="str">
        <f t="shared" si="21"/>
        <v/>
      </c>
      <c r="L56" s="34" t="str">
        <f t="shared" si="0"/>
        <v/>
      </c>
      <c r="M56" s="34" t="str">
        <f t="shared" si="22"/>
        <v/>
      </c>
      <c r="N56" s="34" t="str">
        <f t="shared" si="23"/>
        <v/>
      </c>
      <c r="O56" s="34" t="str">
        <f t="shared" si="1"/>
        <v/>
      </c>
      <c r="P56" s="34" t="str">
        <f>IF(A56="","",IFERROR(VLOOKUP(A56,'表3（采购界面）'!A:J,10,0),"NA"))</f>
        <v/>
      </c>
      <c r="Q56" s="34" t="str">
        <f>IF(A56="","",IFERROR(VLOOKUP(A56,'表3（采购界面）'!A:Z,11,0),"NA"))</f>
        <v/>
      </c>
      <c r="R56" s="34" t="str">
        <f t="shared" si="24"/>
        <v/>
      </c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</row>
    <row r="57" spans="10:33" x14ac:dyDescent="0.2">
      <c r="J57" s="34"/>
      <c r="K57" s="34" t="str">
        <f t="shared" si="21"/>
        <v/>
      </c>
      <c r="L57" s="34" t="str">
        <f t="shared" si="0"/>
        <v/>
      </c>
      <c r="M57" s="34" t="str">
        <f t="shared" si="22"/>
        <v/>
      </c>
      <c r="N57" s="34" t="str">
        <f t="shared" si="23"/>
        <v/>
      </c>
      <c r="O57" s="34" t="str">
        <f t="shared" si="1"/>
        <v/>
      </c>
      <c r="P57" s="34" t="str">
        <f>IF(A57="","",IFERROR(VLOOKUP(A57,'表3（采购界面）'!A:J,10,0),"NA"))</f>
        <v/>
      </c>
      <c r="Q57" s="34" t="str">
        <f>IF(A57="","",IFERROR(VLOOKUP(A57,'表3（采购界面）'!A:Z,11,0),"NA"))</f>
        <v/>
      </c>
      <c r="R57" s="34" t="str">
        <f t="shared" si="24"/>
        <v/>
      </c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34"/>
      <c r="AD57" s="34"/>
      <c r="AE57" s="34"/>
      <c r="AF57" s="34"/>
      <c r="AG57" s="34"/>
    </row>
    <row r="58" spans="10:33" x14ac:dyDescent="0.2">
      <c r="J58" s="34"/>
      <c r="K58" s="34" t="str">
        <f t="shared" si="21"/>
        <v/>
      </c>
      <c r="L58" s="34" t="str">
        <f t="shared" si="0"/>
        <v/>
      </c>
      <c r="M58" s="34" t="str">
        <f t="shared" si="22"/>
        <v/>
      </c>
      <c r="N58" s="34" t="str">
        <f t="shared" si="23"/>
        <v/>
      </c>
      <c r="O58" s="34" t="str">
        <f t="shared" si="1"/>
        <v/>
      </c>
      <c r="P58" s="34" t="str">
        <f>IF(A58="","",IFERROR(VLOOKUP(A58,'表3（采购界面）'!A:J,10,0),"NA"))</f>
        <v/>
      </c>
      <c r="Q58" s="34" t="str">
        <f>IF(A58="","",IFERROR(VLOOKUP(A58,'表3（采购界面）'!A:Z,11,0),"NA"))</f>
        <v/>
      </c>
      <c r="R58" s="34" t="str">
        <f t="shared" si="24"/>
        <v/>
      </c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</row>
    <row r="59" spans="10:33" x14ac:dyDescent="0.2">
      <c r="J59" s="34"/>
      <c r="K59" s="34" t="str">
        <f t="shared" si="21"/>
        <v/>
      </c>
      <c r="L59" s="34" t="str">
        <f t="shared" si="0"/>
        <v/>
      </c>
      <c r="M59" s="34" t="str">
        <f t="shared" si="22"/>
        <v/>
      </c>
      <c r="N59" s="34" t="str">
        <f t="shared" si="23"/>
        <v/>
      </c>
      <c r="O59" s="34" t="str">
        <f t="shared" si="1"/>
        <v/>
      </c>
      <c r="P59" s="34" t="str">
        <f>IF(A59="","",IFERROR(VLOOKUP(A59,'表3（采购界面）'!A:J,10,0),"NA"))</f>
        <v/>
      </c>
      <c r="Q59" s="34" t="str">
        <f>IF(A59="","",IFERROR(VLOOKUP(A59,'表3（采购界面）'!A:Z,11,0),"NA"))</f>
        <v/>
      </c>
      <c r="R59" s="34" t="str">
        <f t="shared" si="24"/>
        <v/>
      </c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</row>
    <row r="60" spans="10:33" x14ac:dyDescent="0.2">
      <c r="J60" s="34"/>
      <c r="K60" s="34" t="str">
        <f t="shared" si="21"/>
        <v/>
      </c>
      <c r="L60" s="34" t="str">
        <f t="shared" si="0"/>
        <v/>
      </c>
      <c r="M60" s="34" t="str">
        <f t="shared" si="22"/>
        <v/>
      </c>
      <c r="N60" s="34" t="str">
        <f t="shared" si="23"/>
        <v/>
      </c>
      <c r="O60" s="34" t="str">
        <f t="shared" si="1"/>
        <v/>
      </c>
      <c r="P60" s="34" t="str">
        <f>IF(A60="","",IFERROR(VLOOKUP(A60,'表3（采购界面）'!A:J,10,0),"NA"))</f>
        <v/>
      </c>
      <c r="Q60" s="34" t="str">
        <f>IF(A60="","",IFERROR(VLOOKUP(A60,'表3（采购界面）'!A:Z,11,0),"NA"))</f>
        <v/>
      </c>
      <c r="R60" s="34" t="str">
        <f t="shared" si="24"/>
        <v/>
      </c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</row>
    <row r="61" spans="10:33" x14ac:dyDescent="0.2">
      <c r="J61" s="34"/>
      <c r="K61" s="34" t="str">
        <f t="shared" si="21"/>
        <v/>
      </c>
      <c r="L61" s="34" t="str">
        <f t="shared" si="0"/>
        <v/>
      </c>
      <c r="M61" s="34" t="str">
        <f t="shared" si="22"/>
        <v/>
      </c>
      <c r="N61" s="34" t="str">
        <f t="shared" si="23"/>
        <v/>
      </c>
      <c r="O61" s="34" t="str">
        <f t="shared" si="1"/>
        <v/>
      </c>
      <c r="P61" s="34" t="str">
        <f>IF(A61="","",IFERROR(VLOOKUP(A61,'表3（采购界面）'!A:J,10,0),"NA"))</f>
        <v/>
      </c>
      <c r="Q61" s="34" t="str">
        <f>IF(A61="","",IFERROR(VLOOKUP(A61,'表3（采购界面）'!A:Z,11,0),"NA"))</f>
        <v/>
      </c>
      <c r="R61" s="34" t="str">
        <f t="shared" si="24"/>
        <v/>
      </c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</row>
    <row r="62" spans="10:33" x14ac:dyDescent="0.2">
      <c r="J62" s="34"/>
      <c r="K62" s="34" t="str">
        <f t="shared" si="21"/>
        <v/>
      </c>
      <c r="L62" s="34" t="str">
        <f t="shared" si="0"/>
        <v/>
      </c>
      <c r="M62" s="34" t="str">
        <f t="shared" si="22"/>
        <v/>
      </c>
      <c r="N62" s="34" t="str">
        <f t="shared" si="23"/>
        <v/>
      </c>
      <c r="O62" s="34" t="str">
        <f t="shared" si="1"/>
        <v/>
      </c>
      <c r="P62" s="34" t="str">
        <f>IF(A62="","",IFERROR(VLOOKUP(A62,'表3（采购界面）'!A:J,10,0),"NA"))</f>
        <v/>
      </c>
      <c r="Q62" s="34" t="str">
        <f>IF(A62="","",IFERROR(VLOOKUP(A62,'表3（采购界面）'!A:Z,11,0),"NA"))</f>
        <v/>
      </c>
      <c r="R62" s="34" t="str">
        <f t="shared" si="24"/>
        <v/>
      </c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 spans="10:33" x14ac:dyDescent="0.2">
      <c r="J63" s="34"/>
      <c r="K63" s="34" t="str">
        <f t="shared" si="21"/>
        <v/>
      </c>
      <c r="L63" s="34" t="str">
        <f t="shared" si="0"/>
        <v/>
      </c>
      <c r="M63" s="34" t="str">
        <f t="shared" si="22"/>
        <v/>
      </c>
      <c r="N63" s="34" t="str">
        <f t="shared" si="23"/>
        <v/>
      </c>
      <c r="O63" s="34" t="str">
        <f t="shared" si="1"/>
        <v/>
      </c>
      <c r="P63" s="34" t="str">
        <f>IF(A63="","",IFERROR(VLOOKUP(A63,'表3（采购界面）'!A:J,10,0),"NA"))</f>
        <v/>
      </c>
      <c r="Q63" s="34" t="str">
        <f>IF(A63="","",IFERROR(VLOOKUP(A63,'表3（采购界面）'!A:Z,11,0),"NA"))</f>
        <v/>
      </c>
      <c r="R63" s="34" t="str">
        <f t="shared" si="24"/>
        <v/>
      </c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 spans="10:33" x14ac:dyDescent="0.2">
      <c r="J64" s="34"/>
      <c r="K64" s="34" t="str">
        <f t="shared" si="21"/>
        <v/>
      </c>
      <c r="L64" s="34" t="str">
        <f t="shared" si="0"/>
        <v/>
      </c>
      <c r="M64" s="34" t="str">
        <f t="shared" si="22"/>
        <v/>
      </c>
      <c r="N64" s="34" t="str">
        <f t="shared" si="23"/>
        <v/>
      </c>
      <c r="O64" s="34" t="str">
        <f t="shared" si="1"/>
        <v/>
      </c>
      <c r="P64" s="34" t="str">
        <f>IF(A64="","",IFERROR(VLOOKUP(A64,'表3（采购界面）'!A:J,10,0),"NA"))</f>
        <v/>
      </c>
      <c r="Q64" s="34" t="str">
        <f>IF(A64="","",IFERROR(VLOOKUP(A64,'表3（采购界面）'!A:Z,11,0),"NA"))</f>
        <v/>
      </c>
      <c r="R64" s="34" t="str">
        <f t="shared" si="24"/>
        <v/>
      </c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spans="10:33" x14ac:dyDescent="0.2">
      <c r="J65" s="34"/>
      <c r="K65" s="34" t="str">
        <f t="shared" si="21"/>
        <v/>
      </c>
      <c r="L65" s="34" t="str">
        <f t="shared" si="0"/>
        <v/>
      </c>
      <c r="M65" s="34" t="str">
        <f t="shared" si="22"/>
        <v/>
      </c>
      <c r="N65" s="34" t="str">
        <f t="shared" si="23"/>
        <v/>
      </c>
      <c r="O65" s="34" t="str">
        <f t="shared" si="1"/>
        <v/>
      </c>
      <c r="P65" s="34" t="str">
        <f>IF(A65="","",IFERROR(VLOOKUP(A65,'表3（采购界面）'!A:J,10,0),"NA"))</f>
        <v/>
      </c>
      <c r="Q65" s="34" t="str">
        <f>IF(A65="","",IFERROR(VLOOKUP(A65,'表3（采购界面）'!A:Z,11,0),"NA"))</f>
        <v/>
      </c>
      <c r="R65" s="34" t="str">
        <f t="shared" si="24"/>
        <v/>
      </c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  <row r="66" spans="10:33" x14ac:dyDescent="0.2">
      <c r="J66" s="34"/>
      <c r="K66" s="34" t="str">
        <f t="shared" si="21"/>
        <v/>
      </c>
      <c r="L66" s="34" t="str">
        <f t="shared" si="0"/>
        <v/>
      </c>
      <c r="M66" s="34" t="str">
        <f t="shared" si="22"/>
        <v/>
      </c>
      <c r="N66" s="34" t="str">
        <f t="shared" si="23"/>
        <v/>
      </c>
      <c r="O66" s="34" t="str">
        <f t="shared" si="1"/>
        <v/>
      </c>
      <c r="P66" s="34" t="str">
        <f>IF(A66="","",IFERROR(VLOOKUP(A66,'表3（采购界面）'!A:J,10,0),"NA"))</f>
        <v/>
      </c>
      <c r="Q66" s="34" t="str">
        <f>IF(A66="","",IFERROR(VLOOKUP(A66,'表3（采购界面）'!A:Z,11,0),"NA"))</f>
        <v/>
      </c>
      <c r="R66" s="34" t="str">
        <f t="shared" si="24"/>
        <v/>
      </c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</row>
    <row r="67" spans="10:33" x14ac:dyDescent="0.2">
      <c r="J67" s="34"/>
      <c r="K67" s="34" t="str">
        <f t="shared" si="21"/>
        <v/>
      </c>
      <c r="L67" s="34" t="str">
        <f t="shared" si="0"/>
        <v/>
      </c>
      <c r="M67" s="34" t="str">
        <f t="shared" si="22"/>
        <v/>
      </c>
      <c r="N67" s="34" t="str">
        <f t="shared" si="23"/>
        <v/>
      </c>
      <c r="O67" s="34" t="str">
        <f t="shared" si="1"/>
        <v/>
      </c>
      <c r="P67" s="34" t="str">
        <f>IF(A67="","",IFERROR(VLOOKUP(A67,'表3（采购界面）'!A:J,10,0),"NA"))</f>
        <v/>
      </c>
      <c r="Q67" s="34" t="str">
        <f>IF(A67="","",IFERROR(VLOOKUP(A67,'表3（采购界面）'!A:Z,11,0),"NA"))</f>
        <v/>
      </c>
      <c r="R67" s="34" t="str">
        <f t="shared" si="24"/>
        <v/>
      </c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</row>
    <row r="68" spans="10:33" x14ac:dyDescent="0.2">
      <c r="J68" s="34"/>
      <c r="K68" s="34" t="str">
        <f t="shared" si="21"/>
        <v/>
      </c>
      <c r="L68" s="34" t="str">
        <f t="shared" si="0"/>
        <v/>
      </c>
      <c r="M68" s="34" t="str">
        <f t="shared" si="22"/>
        <v/>
      </c>
      <c r="N68" s="34" t="str">
        <f t="shared" si="23"/>
        <v/>
      </c>
      <c r="O68" s="34" t="str">
        <f t="shared" si="1"/>
        <v/>
      </c>
      <c r="P68" s="34" t="str">
        <f>IF(A68="","",IFERROR(VLOOKUP(A68,'表3（采购界面）'!A:J,10,0),"NA"))</f>
        <v/>
      </c>
      <c r="Q68" s="34" t="str">
        <f>IF(A68="","",IFERROR(VLOOKUP(A68,'表3（采购界面）'!A:Z,11,0),"NA"))</f>
        <v/>
      </c>
      <c r="R68" s="34" t="str">
        <f t="shared" si="24"/>
        <v/>
      </c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</row>
    <row r="69" spans="10:33" x14ac:dyDescent="0.2">
      <c r="J69" s="34"/>
      <c r="K69" s="34" t="str">
        <f t="shared" si="21"/>
        <v/>
      </c>
      <c r="L69" s="34" t="str">
        <f t="shared" ref="L69:L132" si="25">_xlfn.IFS(LEFT(A69)="1","MB",LEFT(A69)="2","WB",LEFT(A69)="3","WB",AND(LEFT(A69)="4",D69&lt;&gt;"中国",J69&lt;&gt;"Y01"),"FX",A69&lt;&gt;"","EX",A69="","")</f>
        <v/>
      </c>
      <c r="M69" s="34" t="str">
        <f t="shared" si="22"/>
        <v/>
      </c>
      <c r="N69" s="34" t="str">
        <f t="shared" si="23"/>
        <v/>
      </c>
      <c r="O69" s="34" t="str">
        <f t="shared" ref="O69:O132" si="26">IF(OR(LEFT(A69,1)="4",LEFT(A69,1)="5"),"NA","")</f>
        <v/>
      </c>
      <c r="P69" s="34" t="str">
        <f>IF(A69="","",IFERROR(VLOOKUP(A69,'表3（采购界面）'!A:J,10,0),"NA"))</f>
        <v/>
      </c>
      <c r="Q69" s="34" t="str">
        <f>IF(A69="","",IFERROR(VLOOKUP(A69,'表3（采购界面）'!A:Z,11,0),"NA"))</f>
        <v/>
      </c>
      <c r="R69" s="34" t="str">
        <f t="shared" si="24"/>
        <v/>
      </c>
      <c r="S69" s="34"/>
      <c r="T69" s="34"/>
      <c r="U69" s="34"/>
      <c r="V69" s="34"/>
      <c r="W69" s="34"/>
      <c r="X69" s="34"/>
      <c r="Y69" s="34"/>
      <c r="Z69" s="34"/>
      <c r="AA69" s="34"/>
      <c r="AB69" s="34"/>
      <c r="AC69" s="34"/>
      <c r="AD69" s="34"/>
      <c r="AE69" s="34"/>
      <c r="AF69" s="34"/>
      <c r="AG69" s="34"/>
    </row>
    <row r="70" spans="10:33" x14ac:dyDescent="0.2">
      <c r="J70" s="34"/>
      <c r="K70" s="34" t="str">
        <f t="shared" ref="K70:K133" si="27">_xlfn.IFS(AND(LEFT(A70,1)="4",D70="中国"),"ND",AND(LEFT(A70,1)="5",D70="中国"),"ND",AND(LEFT(A70,1)="5",D70&lt;&gt;"中国"),"M2",A70="","",A70&lt;&gt;"","PD")</f>
        <v/>
      </c>
      <c r="L70" s="34" t="str">
        <f t="shared" si="25"/>
        <v/>
      </c>
      <c r="M70" s="34" t="str">
        <f t="shared" ref="M70:M133" si="28">IF(OR(L70="FX",L70=""),"","NA")</f>
        <v/>
      </c>
      <c r="N70" s="34" t="str">
        <f t="shared" ref="N70:N133" si="29">IF(A70="","","NA")</f>
        <v/>
      </c>
      <c r="O70" s="34" t="str">
        <f t="shared" si="26"/>
        <v/>
      </c>
      <c r="P70" s="34" t="str">
        <f>IF(A70="","",IFERROR(VLOOKUP(A70,'表3（采购界面）'!A:J,10,0),"NA"))</f>
        <v/>
      </c>
      <c r="Q70" s="34" t="str">
        <f>IF(A70="","",IFERROR(VLOOKUP(A70,'表3（采购界面）'!A:Z,11,0),"NA"))</f>
        <v/>
      </c>
      <c r="R70" s="34" t="str">
        <f t="shared" ref="R70:R133" si="30">IF(A70="","",IF(OR(LEFT(A70,1)="1",LEFT(A70,1)="2",LEFT(A70,1)="3"),"F","E"))</f>
        <v/>
      </c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</row>
    <row r="71" spans="10:33" x14ac:dyDescent="0.2">
      <c r="J71" s="34"/>
      <c r="K71" s="34" t="str">
        <f t="shared" si="27"/>
        <v/>
      </c>
      <c r="L71" s="34" t="str">
        <f t="shared" si="25"/>
        <v/>
      </c>
      <c r="M71" s="34" t="str">
        <f t="shared" si="28"/>
        <v/>
      </c>
      <c r="N71" s="34" t="str">
        <f t="shared" si="29"/>
        <v/>
      </c>
      <c r="O71" s="34" t="str">
        <f t="shared" si="26"/>
        <v/>
      </c>
      <c r="P71" s="34" t="str">
        <f>IF(A71="","",IFERROR(VLOOKUP(A71,'表3（采购界面）'!A:J,10,0),"NA"))</f>
        <v/>
      </c>
      <c r="Q71" s="34" t="str">
        <f>IF(A71="","",IFERROR(VLOOKUP(A71,'表3（采购界面）'!A:Z,11,0),"NA"))</f>
        <v/>
      </c>
      <c r="R71" s="34" t="str">
        <f t="shared" si="30"/>
        <v/>
      </c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</row>
    <row r="72" spans="10:33" x14ac:dyDescent="0.2">
      <c r="J72" s="34"/>
      <c r="K72" s="34" t="str">
        <f t="shared" si="27"/>
        <v/>
      </c>
      <c r="L72" s="34" t="str">
        <f t="shared" si="25"/>
        <v/>
      </c>
      <c r="M72" s="34" t="str">
        <f t="shared" si="28"/>
        <v/>
      </c>
      <c r="N72" s="34" t="str">
        <f t="shared" si="29"/>
        <v/>
      </c>
      <c r="O72" s="34" t="str">
        <f t="shared" si="26"/>
        <v/>
      </c>
      <c r="P72" s="34" t="str">
        <f>IF(A72="","",IFERROR(VLOOKUP(A72,'表3（采购界面）'!A:J,10,0),"NA"))</f>
        <v/>
      </c>
      <c r="Q72" s="34" t="str">
        <f>IF(A72="","",IFERROR(VLOOKUP(A72,'表3（采购界面）'!A:Z,11,0),"NA"))</f>
        <v/>
      </c>
      <c r="R72" s="34" t="str">
        <f t="shared" si="30"/>
        <v/>
      </c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</row>
    <row r="73" spans="10:33" x14ac:dyDescent="0.2">
      <c r="J73" s="34"/>
      <c r="K73" s="34" t="str">
        <f t="shared" si="27"/>
        <v/>
      </c>
      <c r="L73" s="34" t="str">
        <f t="shared" si="25"/>
        <v/>
      </c>
      <c r="M73" s="34" t="str">
        <f t="shared" si="28"/>
        <v/>
      </c>
      <c r="N73" s="34" t="str">
        <f t="shared" si="29"/>
        <v/>
      </c>
      <c r="O73" s="34" t="str">
        <f t="shared" si="26"/>
        <v/>
      </c>
      <c r="P73" s="34" t="str">
        <f>IF(A73="","",IFERROR(VLOOKUP(A73,'表3（采购界面）'!A:J,10,0),"NA"))</f>
        <v/>
      </c>
      <c r="Q73" s="34" t="str">
        <f>IF(A73="","",IFERROR(VLOOKUP(A73,'表3（采购界面）'!A:Z,11,0),"NA"))</f>
        <v/>
      </c>
      <c r="R73" s="34" t="str">
        <f t="shared" si="30"/>
        <v/>
      </c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</row>
    <row r="74" spans="10:33" x14ac:dyDescent="0.2">
      <c r="J74" s="34"/>
      <c r="K74" s="34" t="str">
        <f t="shared" si="27"/>
        <v/>
      </c>
      <c r="L74" s="34" t="str">
        <f t="shared" si="25"/>
        <v/>
      </c>
      <c r="M74" s="34" t="str">
        <f t="shared" si="28"/>
        <v/>
      </c>
      <c r="N74" s="34" t="str">
        <f t="shared" si="29"/>
        <v/>
      </c>
      <c r="O74" s="34" t="str">
        <f t="shared" si="26"/>
        <v/>
      </c>
      <c r="P74" s="34" t="str">
        <f>IF(A74="","",IFERROR(VLOOKUP(A74,'表3（采购界面）'!A:J,10,0),"NA"))</f>
        <v/>
      </c>
      <c r="Q74" s="34" t="str">
        <f>IF(A74="","",IFERROR(VLOOKUP(A74,'表3（采购界面）'!A:Z,11,0),"NA"))</f>
        <v/>
      </c>
      <c r="R74" s="34" t="str">
        <f t="shared" si="30"/>
        <v/>
      </c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</row>
    <row r="75" spans="10:33" x14ac:dyDescent="0.2">
      <c r="J75" s="34"/>
      <c r="K75" s="34" t="str">
        <f t="shared" si="27"/>
        <v/>
      </c>
      <c r="L75" s="34" t="str">
        <f t="shared" si="25"/>
        <v/>
      </c>
      <c r="M75" s="34" t="str">
        <f t="shared" si="28"/>
        <v/>
      </c>
      <c r="N75" s="34" t="str">
        <f t="shared" si="29"/>
        <v/>
      </c>
      <c r="O75" s="34" t="str">
        <f t="shared" si="26"/>
        <v/>
      </c>
      <c r="P75" s="34" t="str">
        <f>IF(A75="","",IFERROR(VLOOKUP(A75,'表3（采购界面）'!A:J,10,0),"NA"))</f>
        <v/>
      </c>
      <c r="Q75" s="34" t="str">
        <f>IF(A75="","",IFERROR(VLOOKUP(A75,'表3（采购界面）'!A:Z,11,0),"NA"))</f>
        <v/>
      </c>
      <c r="R75" s="34" t="str">
        <f t="shared" si="30"/>
        <v/>
      </c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</row>
    <row r="76" spans="10:33" x14ac:dyDescent="0.2">
      <c r="J76" s="34"/>
      <c r="K76" s="34" t="str">
        <f t="shared" si="27"/>
        <v/>
      </c>
      <c r="L76" s="34" t="str">
        <f t="shared" si="25"/>
        <v/>
      </c>
      <c r="M76" s="34" t="str">
        <f t="shared" si="28"/>
        <v/>
      </c>
      <c r="N76" s="34" t="str">
        <f t="shared" si="29"/>
        <v/>
      </c>
      <c r="O76" s="34" t="str">
        <f t="shared" si="26"/>
        <v/>
      </c>
      <c r="P76" s="34" t="str">
        <f>IF(A76="","",IFERROR(VLOOKUP(A76,'表3（采购界面）'!A:J,10,0),"NA"))</f>
        <v/>
      </c>
      <c r="Q76" s="34" t="str">
        <f>IF(A76="","",IFERROR(VLOOKUP(A76,'表3（采购界面）'!A:Z,11,0),"NA"))</f>
        <v/>
      </c>
      <c r="R76" s="34" t="str">
        <f t="shared" si="30"/>
        <v/>
      </c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</row>
    <row r="77" spans="10:33" x14ac:dyDescent="0.2">
      <c r="J77" s="34"/>
      <c r="K77" s="34" t="str">
        <f t="shared" si="27"/>
        <v/>
      </c>
      <c r="L77" s="34" t="str">
        <f t="shared" si="25"/>
        <v/>
      </c>
      <c r="M77" s="34" t="str">
        <f t="shared" si="28"/>
        <v/>
      </c>
      <c r="N77" s="34" t="str">
        <f t="shared" si="29"/>
        <v/>
      </c>
      <c r="O77" s="34" t="str">
        <f t="shared" si="26"/>
        <v/>
      </c>
      <c r="P77" s="34" t="str">
        <f>IF(A77="","",IFERROR(VLOOKUP(A77,'表3（采购界面）'!A:J,10,0),"NA"))</f>
        <v/>
      </c>
      <c r="Q77" s="34" t="str">
        <f>IF(A77="","",IFERROR(VLOOKUP(A77,'表3（采购界面）'!A:Z,11,0),"NA"))</f>
        <v/>
      </c>
      <c r="R77" s="34" t="str">
        <f t="shared" si="30"/>
        <v/>
      </c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</row>
    <row r="78" spans="10:33" x14ac:dyDescent="0.2">
      <c r="J78" s="34"/>
      <c r="K78" s="34" t="str">
        <f t="shared" si="27"/>
        <v/>
      </c>
      <c r="L78" s="34" t="str">
        <f t="shared" si="25"/>
        <v/>
      </c>
      <c r="M78" s="34" t="str">
        <f t="shared" si="28"/>
        <v/>
      </c>
      <c r="N78" s="34" t="str">
        <f t="shared" si="29"/>
        <v/>
      </c>
      <c r="O78" s="34" t="str">
        <f t="shared" si="26"/>
        <v/>
      </c>
      <c r="P78" s="34" t="str">
        <f>IF(A78="","",IFERROR(VLOOKUP(A78,'表3（采购界面）'!A:J,10,0),"NA"))</f>
        <v/>
      </c>
      <c r="Q78" s="34" t="str">
        <f>IF(A78="","",IFERROR(VLOOKUP(A78,'表3（采购界面）'!A:Z,11,0),"NA"))</f>
        <v/>
      </c>
      <c r="R78" s="34" t="str">
        <f t="shared" si="30"/>
        <v/>
      </c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</row>
    <row r="79" spans="10:33" x14ac:dyDescent="0.2">
      <c r="J79" s="34"/>
      <c r="K79" s="34" t="str">
        <f t="shared" si="27"/>
        <v/>
      </c>
      <c r="L79" s="34" t="str">
        <f t="shared" si="25"/>
        <v/>
      </c>
      <c r="M79" s="34" t="str">
        <f t="shared" si="28"/>
        <v/>
      </c>
      <c r="N79" s="34" t="str">
        <f t="shared" si="29"/>
        <v/>
      </c>
      <c r="O79" s="34" t="str">
        <f t="shared" si="26"/>
        <v/>
      </c>
      <c r="P79" s="34" t="str">
        <f>IF(A79="","",IFERROR(VLOOKUP(A79,'表3（采购界面）'!A:J,10,0),"NA"))</f>
        <v/>
      </c>
      <c r="Q79" s="34" t="str">
        <f>IF(A79="","",IFERROR(VLOOKUP(A79,'表3（采购界面）'!A:Z,11,0),"NA"))</f>
        <v/>
      </c>
      <c r="R79" s="34" t="str">
        <f t="shared" si="30"/>
        <v/>
      </c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</row>
    <row r="80" spans="10:33" x14ac:dyDescent="0.2">
      <c r="J80" s="34"/>
      <c r="K80" s="34" t="str">
        <f t="shared" si="27"/>
        <v/>
      </c>
      <c r="L80" s="34" t="str">
        <f t="shared" si="25"/>
        <v/>
      </c>
      <c r="M80" s="34" t="str">
        <f t="shared" si="28"/>
        <v/>
      </c>
      <c r="N80" s="34" t="str">
        <f t="shared" si="29"/>
        <v/>
      </c>
      <c r="O80" s="34" t="str">
        <f t="shared" si="26"/>
        <v/>
      </c>
      <c r="P80" s="34" t="str">
        <f>IF(A80="","",IFERROR(VLOOKUP(A80,'表3（采购界面）'!A:J,10,0),"NA"))</f>
        <v/>
      </c>
      <c r="Q80" s="34" t="str">
        <f>IF(A80="","",IFERROR(VLOOKUP(A80,'表3（采购界面）'!A:Z,11,0),"NA"))</f>
        <v/>
      </c>
      <c r="R80" s="34" t="str">
        <f t="shared" si="30"/>
        <v/>
      </c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</row>
    <row r="81" spans="10:33" x14ac:dyDescent="0.2">
      <c r="J81" s="34"/>
      <c r="K81" s="34" t="str">
        <f t="shared" si="27"/>
        <v/>
      </c>
      <c r="L81" s="34" t="str">
        <f t="shared" si="25"/>
        <v/>
      </c>
      <c r="M81" s="34" t="str">
        <f t="shared" si="28"/>
        <v/>
      </c>
      <c r="N81" s="34" t="str">
        <f t="shared" si="29"/>
        <v/>
      </c>
      <c r="O81" s="34" t="str">
        <f t="shared" si="26"/>
        <v/>
      </c>
      <c r="P81" s="34" t="str">
        <f>IF(A81="","",IFERROR(VLOOKUP(A81,'表3（采购界面）'!A:J,10,0),"NA"))</f>
        <v/>
      </c>
      <c r="Q81" s="34" t="str">
        <f>IF(A81="","",IFERROR(VLOOKUP(A81,'表3（采购界面）'!A:Z,11,0),"NA"))</f>
        <v/>
      </c>
      <c r="R81" s="34" t="str">
        <f t="shared" si="30"/>
        <v/>
      </c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</row>
    <row r="82" spans="10:33" x14ac:dyDescent="0.2">
      <c r="J82" s="34"/>
      <c r="K82" s="34" t="str">
        <f t="shared" si="27"/>
        <v/>
      </c>
      <c r="L82" s="34" t="str">
        <f t="shared" si="25"/>
        <v/>
      </c>
      <c r="M82" s="34" t="str">
        <f t="shared" si="28"/>
        <v/>
      </c>
      <c r="N82" s="34" t="str">
        <f t="shared" si="29"/>
        <v/>
      </c>
      <c r="O82" s="34" t="str">
        <f t="shared" si="26"/>
        <v/>
      </c>
      <c r="P82" s="34" t="str">
        <f>IF(A82="","",IFERROR(VLOOKUP(A82,'表3（采购界面）'!A:J,10,0),"NA"))</f>
        <v/>
      </c>
      <c r="Q82" s="34" t="str">
        <f>IF(A82="","",IFERROR(VLOOKUP(A82,'表3（采购界面）'!A:Z,11,0),"NA"))</f>
        <v/>
      </c>
      <c r="R82" s="34" t="str">
        <f t="shared" si="30"/>
        <v/>
      </c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</row>
    <row r="83" spans="10:33" x14ac:dyDescent="0.2">
      <c r="J83" s="34"/>
      <c r="K83" s="34" t="str">
        <f t="shared" si="27"/>
        <v/>
      </c>
      <c r="L83" s="34" t="str">
        <f t="shared" si="25"/>
        <v/>
      </c>
      <c r="M83" s="34" t="str">
        <f t="shared" si="28"/>
        <v/>
      </c>
      <c r="N83" s="34" t="str">
        <f t="shared" si="29"/>
        <v/>
      </c>
      <c r="O83" s="34" t="str">
        <f t="shared" si="26"/>
        <v/>
      </c>
      <c r="P83" s="34" t="str">
        <f>IF(A83="","",IFERROR(VLOOKUP(A83,'表3（采购界面）'!A:J,10,0),"NA"))</f>
        <v/>
      </c>
      <c r="Q83" s="34" t="str">
        <f>IF(A83="","",IFERROR(VLOOKUP(A83,'表3（采购界面）'!A:Z,11,0),"NA"))</f>
        <v/>
      </c>
      <c r="R83" s="34" t="str">
        <f t="shared" si="30"/>
        <v/>
      </c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</row>
    <row r="84" spans="10:33" x14ac:dyDescent="0.2">
      <c r="J84" s="34"/>
      <c r="K84" s="34" t="str">
        <f t="shared" si="27"/>
        <v/>
      </c>
      <c r="L84" s="34" t="str">
        <f t="shared" si="25"/>
        <v/>
      </c>
      <c r="M84" s="34" t="str">
        <f t="shared" si="28"/>
        <v/>
      </c>
      <c r="N84" s="34" t="str">
        <f t="shared" si="29"/>
        <v/>
      </c>
      <c r="O84" s="34" t="str">
        <f t="shared" si="26"/>
        <v/>
      </c>
      <c r="P84" s="34" t="str">
        <f>IF(A84="","",IFERROR(VLOOKUP(A84,'表3（采购界面）'!A:J,10,0),"NA"))</f>
        <v/>
      </c>
      <c r="Q84" s="34" t="str">
        <f>IF(A84="","",IFERROR(VLOOKUP(A84,'表3（采购界面）'!A:Z,11,0),"NA"))</f>
        <v/>
      </c>
      <c r="R84" s="34" t="str">
        <f t="shared" si="30"/>
        <v/>
      </c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</row>
    <row r="85" spans="10:33" x14ac:dyDescent="0.2">
      <c r="J85" s="34"/>
      <c r="K85" s="34" t="str">
        <f t="shared" si="27"/>
        <v/>
      </c>
      <c r="L85" s="34" t="str">
        <f t="shared" si="25"/>
        <v/>
      </c>
      <c r="M85" s="34" t="str">
        <f t="shared" si="28"/>
        <v/>
      </c>
      <c r="N85" s="34" t="str">
        <f t="shared" si="29"/>
        <v/>
      </c>
      <c r="O85" s="34" t="str">
        <f t="shared" si="26"/>
        <v/>
      </c>
      <c r="P85" s="34" t="str">
        <f>IF(A85="","",IFERROR(VLOOKUP(A85,'表3（采购界面）'!A:J,10,0),"NA"))</f>
        <v/>
      </c>
      <c r="Q85" s="34" t="str">
        <f>IF(A85="","",IFERROR(VLOOKUP(A85,'表3（采购界面）'!A:Z,11,0),"NA"))</f>
        <v/>
      </c>
      <c r="R85" s="34" t="str">
        <f t="shared" si="30"/>
        <v/>
      </c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</row>
    <row r="86" spans="10:33" x14ac:dyDescent="0.2">
      <c r="J86" s="34"/>
      <c r="K86" s="34" t="str">
        <f t="shared" si="27"/>
        <v/>
      </c>
      <c r="L86" s="34" t="str">
        <f t="shared" si="25"/>
        <v/>
      </c>
      <c r="M86" s="34" t="str">
        <f t="shared" si="28"/>
        <v/>
      </c>
      <c r="N86" s="34" t="str">
        <f t="shared" si="29"/>
        <v/>
      </c>
      <c r="O86" s="34" t="str">
        <f t="shared" si="26"/>
        <v/>
      </c>
      <c r="P86" s="34" t="str">
        <f>IF(A86="","",IFERROR(VLOOKUP(A86,'表3（采购界面）'!A:J,10,0),"NA"))</f>
        <v/>
      </c>
      <c r="Q86" s="34" t="str">
        <f>IF(A86="","",IFERROR(VLOOKUP(A86,'表3（采购界面）'!A:Z,11,0),"NA"))</f>
        <v/>
      </c>
      <c r="R86" s="34" t="str">
        <f t="shared" si="30"/>
        <v/>
      </c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</row>
    <row r="87" spans="10:33" x14ac:dyDescent="0.2">
      <c r="J87" s="34"/>
      <c r="K87" s="34" t="str">
        <f t="shared" si="27"/>
        <v/>
      </c>
      <c r="L87" s="34" t="str">
        <f t="shared" si="25"/>
        <v/>
      </c>
      <c r="M87" s="34" t="str">
        <f t="shared" si="28"/>
        <v/>
      </c>
      <c r="N87" s="34" t="str">
        <f t="shared" si="29"/>
        <v/>
      </c>
      <c r="O87" s="34" t="str">
        <f t="shared" si="26"/>
        <v/>
      </c>
      <c r="P87" s="34" t="str">
        <f>IF(A87="","",IFERROR(VLOOKUP(A87,'表3（采购界面）'!A:J,10,0),"NA"))</f>
        <v/>
      </c>
      <c r="Q87" s="34" t="str">
        <f>IF(A87="","",IFERROR(VLOOKUP(A87,'表3（采购界面）'!A:Z,11,0),"NA"))</f>
        <v/>
      </c>
      <c r="R87" s="34" t="str">
        <f t="shared" si="30"/>
        <v/>
      </c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</row>
    <row r="88" spans="10:33" x14ac:dyDescent="0.2">
      <c r="J88" s="34"/>
      <c r="K88" s="34" t="str">
        <f t="shared" si="27"/>
        <v/>
      </c>
      <c r="L88" s="34" t="str">
        <f t="shared" si="25"/>
        <v/>
      </c>
      <c r="M88" s="34" t="str">
        <f t="shared" si="28"/>
        <v/>
      </c>
      <c r="N88" s="34" t="str">
        <f t="shared" si="29"/>
        <v/>
      </c>
      <c r="O88" s="34" t="str">
        <f t="shared" si="26"/>
        <v/>
      </c>
      <c r="P88" s="34" t="str">
        <f>IF(A88="","",IFERROR(VLOOKUP(A88,'表3（采购界面）'!A:J,10,0),"NA"))</f>
        <v/>
      </c>
      <c r="Q88" s="34" t="str">
        <f>IF(A88="","",IFERROR(VLOOKUP(A88,'表3（采购界面）'!A:Z,11,0),"NA"))</f>
        <v/>
      </c>
      <c r="R88" s="34" t="str">
        <f t="shared" si="30"/>
        <v/>
      </c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</row>
    <row r="89" spans="10:33" x14ac:dyDescent="0.2">
      <c r="J89" s="34"/>
      <c r="K89" s="34" t="str">
        <f t="shared" si="27"/>
        <v/>
      </c>
      <c r="L89" s="34" t="str">
        <f t="shared" si="25"/>
        <v/>
      </c>
      <c r="M89" s="34" t="str">
        <f t="shared" si="28"/>
        <v/>
      </c>
      <c r="N89" s="34" t="str">
        <f t="shared" si="29"/>
        <v/>
      </c>
      <c r="O89" s="34" t="str">
        <f t="shared" si="26"/>
        <v/>
      </c>
      <c r="P89" s="34" t="str">
        <f>IF(A89="","",IFERROR(VLOOKUP(A89,'表3（采购界面）'!A:J,10,0),"NA"))</f>
        <v/>
      </c>
      <c r="Q89" s="34" t="str">
        <f>IF(A89="","",IFERROR(VLOOKUP(A89,'表3（采购界面）'!A:Z,11,0),"NA"))</f>
        <v/>
      </c>
      <c r="R89" s="34" t="str">
        <f t="shared" si="30"/>
        <v/>
      </c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</row>
    <row r="90" spans="10:33" x14ac:dyDescent="0.2">
      <c r="J90" s="34"/>
      <c r="K90" s="34" t="str">
        <f t="shared" si="27"/>
        <v/>
      </c>
      <c r="L90" s="34" t="str">
        <f t="shared" si="25"/>
        <v/>
      </c>
      <c r="M90" s="34" t="str">
        <f t="shared" si="28"/>
        <v/>
      </c>
      <c r="N90" s="34" t="str">
        <f t="shared" si="29"/>
        <v/>
      </c>
      <c r="O90" s="34" t="str">
        <f t="shared" si="26"/>
        <v/>
      </c>
      <c r="P90" s="34" t="str">
        <f>IF(A90="","",IFERROR(VLOOKUP(A90,'表3（采购界面）'!A:J,10,0),"NA"))</f>
        <v/>
      </c>
      <c r="Q90" s="34" t="str">
        <f>IF(A90="","",IFERROR(VLOOKUP(A90,'表3（采购界面）'!A:Z,11,0),"NA"))</f>
        <v/>
      </c>
      <c r="R90" s="34" t="str">
        <f t="shared" si="30"/>
        <v/>
      </c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</row>
    <row r="91" spans="10:33" x14ac:dyDescent="0.2">
      <c r="J91" s="34"/>
      <c r="K91" s="34" t="str">
        <f t="shared" si="27"/>
        <v/>
      </c>
      <c r="L91" s="34" t="str">
        <f t="shared" si="25"/>
        <v/>
      </c>
      <c r="M91" s="34" t="str">
        <f t="shared" si="28"/>
        <v/>
      </c>
      <c r="N91" s="34" t="str">
        <f t="shared" si="29"/>
        <v/>
      </c>
      <c r="O91" s="34" t="str">
        <f t="shared" si="26"/>
        <v/>
      </c>
      <c r="P91" s="34" t="str">
        <f>IF(A91="","",IFERROR(VLOOKUP(A91,'表3（采购界面）'!A:J,10,0),"NA"))</f>
        <v/>
      </c>
      <c r="Q91" s="34" t="str">
        <f>IF(A91="","",IFERROR(VLOOKUP(A91,'表3（采购界面）'!A:Z,11,0),"NA"))</f>
        <v/>
      </c>
      <c r="R91" s="34" t="str">
        <f t="shared" si="30"/>
        <v/>
      </c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</row>
    <row r="92" spans="10:33" x14ac:dyDescent="0.2">
      <c r="J92" s="34"/>
      <c r="K92" s="34" t="str">
        <f t="shared" si="27"/>
        <v/>
      </c>
      <c r="L92" s="34" t="str">
        <f t="shared" si="25"/>
        <v/>
      </c>
      <c r="M92" s="34" t="str">
        <f t="shared" si="28"/>
        <v/>
      </c>
      <c r="N92" s="34" t="str">
        <f t="shared" si="29"/>
        <v/>
      </c>
      <c r="O92" s="34" t="str">
        <f t="shared" si="26"/>
        <v/>
      </c>
      <c r="P92" s="34" t="str">
        <f>IF(A92="","",IFERROR(VLOOKUP(A92,'表3（采购界面）'!A:J,10,0),"NA"))</f>
        <v/>
      </c>
      <c r="Q92" s="34" t="str">
        <f>IF(A92="","",IFERROR(VLOOKUP(A92,'表3（采购界面）'!A:Z,11,0),"NA"))</f>
        <v/>
      </c>
      <c r="R92" s="34" t="str">
        <f t="shared" si="30"/>
        <v/>
      </c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</row>
    <row r="93" spans="10:33" x14ac:dyDescent="0.2">
      <c r="J93" s="34"/>
      <c r="K93" s="34" t="str">
        <f t="shared" si="27"/>
        <v/>
      </c>
      <c r="L93" s="34" t="str">
        <f t="shared" si="25"/>
        <v/>
      </c>
      <c r="M93" s="34" t="str">
        <f t="shared" si="28"/>
        <v/>
      </c>
      <c r="N93" s="34" t="str">
        <f t="shared" si="29"/>
        <v/>
      </c>
      <c r="O93" s="34" t="str">
        <f t="shared" si="26"/>
        <v/>
      </c>
      <c r="P93" s="34" t="str">
        <f>IF(A93="","",IFERROR(VLOOKUP(A93,'表3（采购界面）'!A:J,10,0),"NA"))</f>
        <v/>
      </c>
      <c r="Q93" s="34" t="str">
        <f>IF(A93="","",IFERROR(VLOOKUP(A93,'表3（采购界面）'!A:Z,11,0),"NA"))</f>
        <v/>
      </c>
      <c r="R93" s="34" t="str">
        <f t="shared" si="30"/>
        <v/>
      </c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</row>
    <row r="94" spans="10:33" x14ac:dyDescent="0.2">
      <c r="J94" s="34"/>
      <c r="K94" s="34" t="str">
        <f t="shared" si="27"/>
        <v/>
      </c>
      <c r="L94" s="34" t="str">
        <f t="shared" si="25"/>
        <v/>
      </c>
      <c r="M94" s="34" t="str">
        <f t="shared" si="28"/>
        <v/>
      </c>
      <c r="N94" s="34" t="str">
        <f t="shared" si="29"/>
        <v/>
      </c>
      <c r="O94" s="34" t="str">
        <f t="shared" si="26"/>
        <v/>
      </c>
      <c r="P94" s="34" t="str">
        <f>IF(A94="","",IFERROR(VLOOKUP(A94,'表3（采购界面）'!A:J,10,0),"NA"))</f>
        <v/>
      </c>
      <c r="Q94" s="34" t="str">
        <f>IF(A94="","",IFERROR(VLOOKUP(A94,'表3（采购界面）'!A:Z,11,0),"NA"))</f>
        <v/>
      </c>
      <c r="R94" s="34" t="str">
        <f t="shared" si="30"/>
        <v/>
      </c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</row>
    <row r="95" spans="10:33" x14ac:dyDescent="0.2">
      <c r="J95" s="34"/>
      <c r="K95" s="34" t="str">
        <f t="shared" si="27"/>
        <v/>
      </c>
      <c r="L95" s="34" t="str">
        <f t="shared" si="25"/>
        <v/>
      </c>
      <c r="M95" s="34" t="str">
        <f t="shared" si="28"/>
        <v/>
      </c>
      <c r="N95" s="34" t="str">
        <f t="shared" si="29"/>
        <v/>
      </c>
      <c r="O95" s="34" t="str">
        <f t="shared" si="26"/>
        <v/>
      </c>
      <c r="P95" s="34" t="str">
        <f>IF(A95="","",IFERROR(VLOOKUP(A95,'表3（采购界面）'!A:J,10,0),"NA"))</f>
        <v/>
      </c>
      <c r="Q95" s="34" t="str">
        <f>IF(A95="","",IFERROR(VLOOKUP(A95,'表3（采购界面）'!A:Z,11,0),"NA"))</f>
        <v/>
      </c>
      <c r="R95" s="34" t="str">
        <f t="shared" si="30"/>
        <v/>
      </c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</row>
    <row r="96" spans="10:33" x14ac:dyDescent="0.2">
      <c r="J96" s="34"/>
      <c r="K96" s="34" t="str">
        <f t="shared" si="27"/>
        <v/>
      </c>
      <c r="L96" s="34" t="str">
        <f t="shared" si="25"/>
        <v/>
      </c>
      <c r="M96" s="34" t="str">
        <f t="shared" si="28"/>
        <v/>
      </c>
      <c r="N96" s="34" t="str">
        <f t="shared" si="29"/>
        <v/>
      </c>
      <c r="O96" s="34" t="str">
        <f t="shared" si="26"/>
        <v/>
      </c>
      <c r="P96" s="34" t="str">
        <f>IF(A96="","",IFERROR(VLOOKUP(A96,'表3（采购界面）'!A:J,10,0),"NA"))</f>
        <v/>
      </c>
      <c r="Q96" s="34" t="str">
        <f>IF(A96="","",IFERROR(VLOOKUP(A96,'表3（采购界面）'!A:Z,11,0),"NA"))</f>
        <v/>
      </c>
      <c r="R96" s="34" t="str">
        <f t="shared" si="30"/>
        <v/>
      </c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</row>
    <row r="97" spans="10:33" x14ac:dyDescent="0.2">
      <c r="J97" s="34"/>
      <c r="K97" s="34" t="str">
        <f t="shared" si="27"/>
        <v/>
      </c>
      <c r="L97" s="34" t="str">
        <f t="shared" si="25"/>
        <v/>
      </c>
      <c r="M97" s="34" t="str">
        <f t="shared" si="28"/>
        <v/>
      </c>
      <c r="N97" s="34" t="str">
        <f t="shared" si="29"/>
        <v/>
      </c>
      <c r="O97" s="34" t="str">
        <f t="shared" si="26"/>
        <v/>
      </c>
      <c r="P97" s="34" t="str">
        <f>IF(A97="","",IFERROR(VLOOKUP(A97,'表3（采购界面）'!A:J,10,0),"NA"))</f>
        <v/>
      </c>
      <c r="Q97" s="34" t="str">
        <f>IF(A97="","",IFERROR(VLOOKUP(A97,'表3（采购界面）'!A:Z,11,0),"NA"))</f>
        <v/>
      </c>
      <c r="R97" s="34" t="str">
        <f t="shared" si="30"/>
        <v/>
      </c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</row>
    <row r="98" spans="10:33" x14ac:dyDescent="0.2">
      <c r="J98" s="34"/>
      <c r="K98" s="34" t="str">
        <f t="shared" si="27"/>
        <v/>
      </c>
      <c r="L98" s="34" t="str">
        <f t="shared" si="25"/>
        <v/>
      </c>
      <c r="M98" s="34" t="str">
        <f t="shared" si="28"/>
        <v/>
      </c>
      <c r="N98" s="34" t="str">
        <f t="shared" si="29"/>
        <v/>
      </c>
      <c r="O98" s="34" t="str">
        <f t="shared" si="26"/>
        <v/>
      </c>
      <c r="P98" s="34" t="str">
        <f>IF(A98="","",IFERROR(VLOOKUP(A98,'表3（采购界面）'!A:J,10,0),"NA"))</f>
        <v/>
      </c>
      <c r="Q98" s="34" t="str">
        <f>IF(A98="","",IFERROR(VLOOKUP(A98,'表3（采购界面）'!A:Z,11,0),"NA"))</f>
        <v/>
      </c>
      <c r="R98" s="34" t="str">
        <f t="shared" si="30"/>
        <v/>
      </c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0:33" x14ac:dyDescent="0.2">
      <c r="J99" s="34"/>
      <c r="K99" s="34" t="str">
        <f t="shared" si="27"/>
        <v/>
      </c>
      <c r="L99" s="34" t="str">
        <f t="shared" si="25"/>
        <v/>
      </c>
      <c r="M99" s="34" t="str">
        <f t="shared" si="28"/>
        <v/>
      </c>
      <c r="N99" s="34" t="str">
        <f t="shared" si="29"/>
        <v/>
      </c>
      <c r="O99" s="34" t="str">
        <f t="shared" si="26"/>
        <v/>
      </c>
      <c r="P99" s="34" t="str">
        <f>IF(A99="","",IFERROR(VLOOKUP(A99,'表3（采购界面）'!A:J,10,0),"NA"))</f>
        <v/>
      </c>
      <c r="Q99" s="34" t="str">
        <f>IF(A99="","",IFERROR(VLOOKUP(A99,'表3（采购界面）'!A:Z,11,0),"NA"))</f>
        <v/>
      </c>
      <c r="R99" s="34" t="str">
        <f t="shared" si="30"/>
        <v/>
      </c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</row>
    <row r="100" spans="10:33" x14ac:dyDescent="0.2">
      <c r="J100" s="34"/>
      <c r="K100" s="34" t="str">
        <f t="shared" si="27"/>
        <v/>
      </c>
      <c r="L100" s="34" t="str">
        <f t="shared" si="25"/>
        <v/>
      </c>
      <c r="M100" s="34" t="str">
        <f t="shared" si="28"/>
        <v/>
      </c>
      <c r="N100" s="34" t="str">
        <f t="shared" si="29"/>
        <v/>
      </c>
      <c r="O100" s="34" t="str">
        <f t="shared" si="26"/>
        <v/>
      </c>
      <c r="P100" s="34" t="str">
        <f>IF(A100="","",IFERROR(VLOOKUP(A100,'表3（采购界面）'!A:J,10,0),"NA"))</f>
        <v/>
      </c>
      <c r="Q100" s="34" t="str">
        <f>IF(A100="","",IFERROR(VLOOKUP(A100,'表3（采购界面）'!A:Z,11,0),"NA"))</f>
        <v/>
      </c>
      <c r="R100" s="34" t="str">
        <f t="shared" si="30"/>
        <v/>
      </c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</row>
    <row r="101" spans="10:33" x14ac:dyDescent="0.2">
      <c r="J101" s="34"/>
      <c r="K101" s="34" t="str">
        <f t="shared" si="27"/>
        <v/>
      </c>
      <c r="L101" s="34" t="str">
        <f t="shared" si="25"/>
        <v/>
      </c>
      <c r="M101" s="34" t="str">
        <f t="shared" si="28"/>
        <v/>
      </c>
      <c r="N101" s="34" t="str">
        <f t="shared" si="29"/>
        <v/>
      </c>
      <c r="O101" s="34" t="str">
        <f t="shared" si="26"/>
        <v/>
      </c>
      <c r="P101" s="34" t="str">
        <f>IF(A101="","",IFERROR(VLOOKUP(A101,'表3（采购界面）'!A:J,10,0),"NA"))</f>
        <v/>
      </c>
      <c r="Q101" s="34" t="str">
        <f>IF(A101="","",IFERROR(VLOOKUP(A101,'表3（采购界面）'!A:Z,11,0),"NA"))</f>
        <v/>
      </c>
      <c r="R101" s="34" t="str">
        <f t="shared" si="30"/>
        <v/>
      </c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</row>
    <row r="102" spans="10:33" x14ac:dyDescent="0.2">
      <c r="J102" s="34"/>
      <c r="K102" s="34" t="str">
        <f t="shared" si="27"/>
        <v/>
      </c>
      <c r="L102" s="34" t="str">
        <f t="shared" si="25"/>
        <v/>
      </c>
      <c r="M102" s="34" t="str">
        <f t="shared" si="28"/>
        <v/>
      </c>
      <c r="N102" s="34" t="str">
        <f t="shared" si="29"/>
        <v/>
      </c>
      <c r="O102" s="34" t="str">
        <f t="shared" si="26"/>
        <v/>
      </c>
      <c r="P102" s="34" t="str">
        <f>IF(A102="","",IFERROR(VLOOKUP(A102,'表3（采购界面）'!A:J,10,0),"NA"))</f>
        <v/>
      </c>
      <c r="Q102" s="34" t="str">
        <f>IF(A102="","",IFERROR(VLOOKUP(A102,'表3（采购界面）'!A:Z,11,0),"NA"))</f>
        <v/>
      </c>
      <c r="R102" s="34" t="str">
        <f t="shared" si="30"/>
        <v/>
      </c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</row>
    <row r="103" spans="10:33" x14ac:dyDescent="0.2">
      <c r="J103" s="34"/>
      <c r="K103" s="34" t="str">
        <f t="shared" si="27"/>
        <v/>
      </c>
      <c r="L103" s="34" t="str">
        <f t="shared" si="25"/>
        <v/>
      </c>
      <c r="M103" s="34" t="str">
        <f t="shared" si="28"/>
        <v/>
      </c>
      <c r="N103" s="34" t="str">
        <f t="shared" si="29"/>
        <v/>
      </c>
      <c r="O103" s="34" t="str">
        <f t="shared" si="26"/>
        <v/>
      </c>
      <c r="P103" s="34" t="str">
        <f>IF(A103="","",IFERROR(VLOOKUP(A103,'表3（采购界面）'!A:J,10,0),"NA"))</f>
        <v/>
      </c>
      <c r="Q103" s="34" t="str">
        <f>IF(A103="","",IFERROR(VLOOKUP(A103,'表3（采购界面）'!A:Z,11,0),"NA"))</f>
        <v/>
      </c>
      <c r="R103" s="34" t="str">
        <f t="shared" si="30"/>
        <v/>
      </c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</row>
    <row r="104" spans="10:33" x14ac:dyDescent="0.2">
      <c r="J104" s="34"/>
      <c r="K104" s="34" t="str">
        <f t="shared" si="27"/>
        <v/>
      </c>
      <c r="L104" s="34" t="str">
        <f t="shared" si="25"/>
        <v/>
      </c>
      <c r="M104" s="34" t="str">
        <f t="shared" si="28"/>
        <v/>
      </c>
      <c r="N104" s="34" t="str">
        <f t="shared" si="29"/>
        <v/>
      </c>
      <c r="O104" s="34" t="str">
        <f t="shared" si="26"/>
        <v/>
      </c>
      <c r="P104" s="34" t="str">
        <f>IF(A104="","",IFERROR(VLOOKUP(A104,'表3（采购界面）'!A:J,10,0),"NA"))</f>
        <v/>
      </c>
      <c r="Q104" s="34" t="str">
        <f>IF(A104="","",IFERROR(VLOOKUP(A104,'表3（采购界面）'!A:Z,11,0),"NA"))</f>
        <v/>
      </c>
      <c r="R104" s="34" t="str">
        <f t="shared" si="30"/>
        <v/>
      </c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</row>
    <row r="105" spans="10:33" x14ac:dyDescent="0.2">
      <c r="J105" s="34"/>
      <c r="K105" s="34" t="str">
        <f t="shared" si="27"/>
        <v/>
      </c>
      <c r="L105" s="34" t="str">
        <f t="shared" si="25"/>
        <v/>
      </c>
      <c r="M105" s="34" t="str">
        <f t="shared" si="28"/>
        <v/>
      </c>
      <c r="N105" s="34" t="str">
        <f t="shared" si="29"/>
        <v/>
      </c>
      <c r="O105" s="34" t="str">
        <f t="shared" si="26"/>
        <v/>
      </c>
      <c r="P105" s="34" t="str">
        <f>IF(A105="","",IFERROR(VLOOKUP(A105,'表3（采购界面）'!A:J,10,0),"NA"))</f>
        <v/>
      </c>
      <c r="Q105" s="34" t="str">
        <f>IF(A105="","",IFERROR(VLOOKUP(A105,'表3（采购界面）'!A:Z,11,0),"NA"))</f>
        <v/>
      </c>
      <c r="R105" s="34" t="str">
        <f t="shared" si="30"/>
        <v/>
      </c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</row>
    <row r="106" spans="10:33" x14ac:dyDescent="0.2">
      <c r="J106" s="34"/>
      <c r="K106" s="34" t="str">
        <f t="shared" si="27"/>
        <v/>
      </c>
      <c r="L106" s="34" t="str">
        <f t="shared" si="25"/>
        <v/>
      </c>
      <c r="M106" s="34" t="str">
        <f t="shared" si="28"/>
        <v/>
      </c>
      <c r="N106" s="34" t="str">
        <f t="shared" si="29"/>
        <v/>
      </c>
      <c r="O106" s="34" t="str">
        <f t="shared" si="26"/>
        <v/>
      </c>
      <c r="P106" s="34" t="str">
        <f>IF(A106="","",IFERROR(VLOOKUP(A106,'表3（采购界面）'!A:J,10,0),"NA"))</f>
        <v/>
      </c>
      <c r="Q106" s="34" t="str">
        <f>IF(A106="","",IFERROR(VLOOKUP(A106,'表3（采购界面）'!A:Z,11,0),"NA"))</f>
        <v/>
      </c>
      <c r="R106" s="34" t="str">
        <f t="shared" si="30"/>
        <v/>
      </c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</row>
    <row r="107" spans="10:33" x14ac:dyDescent="0.2">
      <c r="J107" s="34"/>
      <c r="K107" s="34" t="str">
        <f t="shared" si="27"/>
        <v/>
      </c>
      <c r="L107" s="34" t="str">
        <f t="shared" si="25"/>
        <v/>
      </c>
      <c r="M107" s="34" t="str">
        <f t="shared" si="28"/>
        <v/>
      </c>
      <c r="N107" s="34" t="str">
        <f t="shared" si="29"/>
        <v/>
      </c>
      <c r="O107" s="34" t="str">
        <f t="shared" si="26"/>
        <v/>
      </c>
      <c r="P107" s="34" t="str">
        <f>IF(A107="","",IFERROR(VLOOKUP(A107,'表3（采购界面）'!A:J,10,0),"NA"))</f>
        <v/>
      </c>
      <c r="Q107" s="34" t="str">
        <f>IF(A107="","",IFERROR(VLOOKUP(A107,'表3（采购界面）'!A:Z,11,0),"NA"))</f>
        <v/>
      </c>
      <c r="R107" s="34" t="str">
        <f t="shared" si="30"/>
        <v/>
      </c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</row>
    <row r="108" spans="10:33" x14ac:dyDescent="0.2">
      <c r="J108" s="34"/>
      <c r="K108" s="34" t="str">
        <f t="shared" si="27"/>
        <v/>
      </c>
      <c r="L108" s="34" t="str">
        <f t="shared" si="25"/>
        <v/>
      </c>
      <c r="M108" s="34" t="str">
        <f t="shared" si="28"/>
        <v/>
      </c>
      <c r="N108" s="34" t="str">
        <f t="shared" si="29"/>
        <v/>
      </c>
      <c r="O108" s="34" t="str">
        <f t="shared" si="26"/>
        <v/>
      </c>
      <c r="P108" s="34" t="str">
        <f>IF(A108="","",IFERROR(VLOOKUP(A108,'表3（采购界面）'!A:J,10,0),"NA"))</f>
        <v/>
      </c>
      <c r="Q108" s="34" t="str">
        <f>IF(A108="","",IFERROR(VLOOKUP(A108,'表3（采购界面）'!A:Z,11,0),"NA"))</f>
        <v/>
      </c>
      <c r="R108" s="34" t="str">
        <f t="shared" si="30"/>
        <v/>
      </c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</row>
    <row r="109" spans="10:33" x14ac:dyDescent="0.2">
      <c r="J109" s="34"/>
      <c r="K109" s="34" t="str">
        <f t="shared" si="27"/>
        <v/>
      </c>
      <c r="L109" s="34" t="str">
        <f t="shared" si="25"/>
        <v/>
      </c>
      <c r="M109" s="34" t="str">
        <f t="shared" si="28"/>
        <v/>
      </c>
      <c r="N109" s="34" t="str">
        <f t="shared" si="29"/>
        <v/>
      </c>
      <c r="O109" s="34" t="str">
        <f t="shared" si="26"/>
        <v/>
      </c>
      <c r="P109" s="34" t="str">
        <f>IF(A109="","",IFERROR(VLOOKUP(A109,'表3（采购界面）'!A:J,10,0),"NA"))</f>
        <v/>
      </c>
      <c r="Q109" s="34" t="str">
        <f>IF(A109="","",IFERROR(VLOOKUP(A109,'表3（采购界面）'!A:Z,11,0),"NA"))</f>
        <v/>
      </c>
      <c r="R109" s="34" t="str">
        <f t="shared" si="30"/>
        <v/>
      </c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</row>
    <row r="110" spans="10:33" x14ac:dyDescent="0.2">
      <c r="J110" s="34"/>
      <c r="K110" s="34" t="str">
        <f t="shared" si="27"/>
        <v/>
      </c>
      <c r="L110" s="34" t="str">
        <f t="shared" si="25"/>
        <v/>
      </c>
      <c r="M110" s="34" t="str">
        <f t="shared" si="28"/>
        <v/>
      </c>
      <c r="N110" s="34" t="str">
        <f t="shared" si="29"/>
        <v/>
      </c>
      <c r="O110" s="34" t="str">
        <f t="shared" si="26"/>
        <v/>
      </c>
      <c r="P110" s="34" t="str">
        <f>IF(A110="","",IFERROR(VLOOKUP(A110,'表3（采购界面）'!A:J,10,0),"NA"))</f>
        <v/>
      </c>
      <c r="Q110" s="34" t="str">
        <f>IF(A110="","",IFERROR(VLOOKUP(A110,'表3（采购界面）'!A:Z,11,0),"NA"))</f>
        <v/>
      </c>
      <c r="R110" s="34" t="str">
        <f t="shared" si="30"/>
        <v/>
      </c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</row>
    <row r="111" spans="10:33" x14ac:dyDescent="0.2">
      <c r="J111" s="34"/>
      <c r="K111" s="34" t="str">
        <f t="shared" si="27"/>
        <v/>
      </c>
      <c r="L111" s="34" t="str">
        <f t="shared" si="25"/>
        <v/>
      </c>
      <c r="M111" s="34" t="str">
        <f t="shared" si="28"/>
        <v/>
      </c>
      <c r="N111" s="34" t="str">
        <f t="shared" si="29"/>
        <v/>
      </c>
      <c r="O111" s="34" t="str">
        <f t="shared" si="26"/>
        <v/>
      </c>
      <c r="P111" s="34" t="str">
        <f>IF(A111="","",IFERROR(VLOOKUP(A111,'表3（采购界面）'!A:J,10,0),"NA"))</f>
        <v/>
      </c>
      <c r="Q111" s="34" t="str">
        <f>IF(A111="","",IFERROR(VLOOKUP(A111,'表3（采购界面）'!A:Z,11,0),"NA"))</f>
        <v/>
      </c>
      <c r="R111" s="34" t="str">
        <f t="shared" si="30"/>
        <v/>
      </c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</row>
    <row r="112" spans="10:33" x14ac:dyDescent="0.2">
      <c r="J112" s="34"/>
      <c r="K112" s="34" t="str">
        <f t="shared" si="27"/>
        <v/>
      </c>
      <c r="L112" s="34" t="str">
        <f t="shared" si="25"/>
        <v/>
      </c>
      <c r="M112" s="34" t="str">
        <f t="shared" si="28"/>
        <v/>
      </c>
      <c r="N112" s="34" t="str">
        <f t="shared" si="29"/>
        <v/>
      </c>
      <c r="O112" s="34" t="str">
        <f t="shared" si="26"/>
        <v/>
      </c>
      <c r="P112" s="34" t="str">
        <f>IF(A112="","",IFERROR(VLOOKUP(A112,'表3（采购界面）'!A:J,10,0),"NA"))</f>
        <v/>
      </c>
      <c r="Q112" s="34" t="str">
        <f>IF(A112="","",IFERROR(VLOOKUP(A112,'表3（采购界面）'!A:Z,11,0),"NA"))</f>
        <v/>
      </c>
      <c r="R112" s="34" t="str">
        <f t="shared" si="30"/>
        <v/>
      </c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</row>
    <row r="113" spans="10:33" x14ac:dyDescent="0.2">
      <c r="J113" s="34"/>
      <c r="K113" s="34" t="str">
        <f t="shared" si="27"/>
        <v/>
      </c>
      <c r="L113" s="34" t="str">
        <f t="shared" si="25"/>
        <v/>
      </c>
      <c r="M113" s="34" t="str">
        <f t="shared" si="28"/>
        <v/>
      </c>
      <c r="N113" s="34" t="str">
        <f t="shared" si="29"/>
        <v/>
      </c>
      <c r="O113" s="34" t="str">
        <f t="shared" si="26"/>
        <v/>
      </c>
      <c r="P113" s="34" t="str">
        <f>IF(A113="","",IFERROR(VLOOKUP(A113,'表3（采购界面）'!A:J,10,0),"NA"))</f>
        <v/>
      </c>
      <c r="Q113" s="34" t="str">
        <f>IF(A113="","",IFERROR(VLOOKUP(A113,'表3（采购界面）'!A:Z,11,0),"NA"))</f>
        <v/>
      </c>
      <c r="R113" s="34" t="str">
        <f t="shared" si="30"/>
        <v/>
      </c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</row>
    <row r="114" spans="10:33" x14ac:dyDescent="0.2">
      <c r="J114" s="34"/>
      <c r="K114" s="34" t="str">
        <f t="shared" si="27"/>
        <v/>
      </c>
      <c r="L114" s="34" t="str">
        <f t="shared" si="25"/>
        <v/>
      </c>
      <c r="M114" s="34" t="str">
        <f t="shared" si="28"/>
        <v/>
      </c>
      <c r="N114" s="34" t="str">
        <f t="shared" si="29"/>
        <v/>
      </c>
      <c r="O114" s="34" t="str">
        <f t="shared" si="26"/>
        <v/>
      </c>
      <c r="P114" s="34" t="str">
        <f>IF(A114="","",IFERROR(VLOOKUP(A114,'表3（采购界面）'!A:J,10,0),"NA"))</f>
        <v/>
      </c>
      <c r="Q114" s="34" t="str">
        <f>IF(A114="","",IFERROR(VLOOKUP(A114,'表3（采购界面）'!A:Z,11,0),"NA"))</f>
        <v/>
      </c>
      <c r="R114" s="34" t="str">
        <f t="shared" si="30"/>
        <v/>
      </c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</row>
    <row r="115" spans="10:33" x14ac:dyDescent="0.2">
      <c r="J115" s="34"/>
      <c r="K115" s="34" t="str">
        <f t="shared" si="27"/>
        <v/>
      </c>
      <c r="L115" s="34" t="str">
        <f t="shared" si="25"/>
        <v/>
      </c>
      <c r="M115" s="34" t="str">
        <f t="shared" si="28"/>
        <v/>
      </c>
      <c r="N115" s="34" t="str">
        <f t="shared" si="29"/>
        <v/>
      </c>
      <c r="O115" s="34" t="str">
        <f t="shared" si="26"/>
        <v/>
      </c>
      <c r="P115" s="34" t="str">
        <f>IF(A115="","",IFERROR(VLOOKUP(A115,'表3（采购界面）'!A:J,10,0),"NA"))</f>
        <v/>
      </c>
      <c r="Q115" s="34" t="str">
        <f>IF(A115="","",IFERROR(VLOOKUP(A115,'表3（采购界面）'!A:Z,11,0),"NA"))</f>
        <v/>
      </c>
      <c r="R115" s="34" t="str">
        <f t="shared" si="30"/>
        <v/>
      </c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</row>
    <row r="116" spans="10:33" x14ac:dyDescent="0.2">
      <c r="J116" s="34"/>
      <c r="K116" s="34" t="str">
        <f t="shared" si="27"/>
        <v/>
      </c>
      <c r="L116" s="34" t="str">
        <f t="shared" si="25"/>
        <v/>
      </c>
      <c r="M116" s="34" t="str">
        <f t="shared" si="28"/>
        <v/>
      </c>
      <c r="N116" s="34" t="str">
        <f t="shared" si="29"/>
        <v/>
      </c>
      <c r="O116" s="34" t="str">
        <f t="shared" si="26"/>
        <v/>
      </c>
      <c r="P116" s="34" t="str">
        <f>IF(A116="","",IFERROR(VLOOKUP(A116,'表3（采购界面）'!A:J,10,0),"NA"))</f>
        <v/>
      </c>
      <c r="Q116" s="34" t="str">
        <f>IF(A116="","",IFERROR(VLOOKUP(A116,'表3（采购界面）'!A:Z,11,0),"NA"))</f>
        <v/>
      </c>
      <c r="R116" s="34" t="str">
        <f t="shared" si="30"/>
        <v/>
      </c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</row>
    <row r="117" spans="10:33" x14ac:dyDescent="0.2">
      <c r="J117" s="34"/>
      <c r="K117" s="34" t="str">
        <f t="shared" si="27"/>
        <v/>
      </c>
      <c r="L117" s="34" t="str">
        <f t="shared" si="25"/>
        <v/>
      </c>
      <c r="M117" s="34" t="str">
        <f t="shared" si="28"/>
        <v/>
      </c>
      <c r="N117" s="34" t="str">
        <f t="shared" si="29"/>
        <v/>
      </c>
      <c r="O117" s="34" t="str">
        <f t="shared" si="26"/>
        <v/>
      </c>
      <c r="P117" s="34" t="str">
        <f>IF(A117="","",IFERROR(VLOOKUP(A117,'表3（采购界面）'!A:J,10,0),"NA"))</f>
        <v/>
      </c>
      <c r="Q117" s="34" t="str">
        <f>IF(A117="","",IFERROR(VLOOKUP(A117,'表3（采购界面）'!A:Z,11,0),"NA"))</f>
        <v/>
      </c>
      <c r="R117" s="34" t="str">
        <f t="shared" si="30"/>
        <v/>
      </c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</row>
    <row r="118" spans="10:33" x14ac:dyDescent="0.2">
      <c r="J118" s="34"/>
      <c r="K118" s="34" t="str">
        <f t="shared" si="27"/>
        <v/>
      </c>
      <c r="L118" s="34" t="str">
        <f t="shared" si="25"/>
        <v/>
      </c>
      <c r="M118" s="34" t="str">
        <f t="shared" si="28"/>
        <v/>
      </c>
      <c r="N118" s="34" t="str">
        <f t="shared" si="29"/>
        <v/>
      </c>
      <c r="O118" s="34" t="str">
        <f t="shared" si="26"/>
        <v/>
      </c>
      <c r="P118" s="34" t="str">
        <f>IF(A118="","",IFERROR(VLOOKUP(A118,'表3（采购界面）'!A:J,10,0),"NA"))</f>
        <v/>
      </c>
      <c r="Q118" s="34" t="str">
        <f>IF(A118="","",IFERROR(VLOOKUP(A118,'表3（采购界面）'!A:Z,11,0),"NA"))</f>
        <v/>
      </c>
      <c r="R118" s="34" t="str">
        <f t="shared" si="30"/>
        <v/>
      </c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</row>
    <row r="119" spans="10:33" x14ac:dyDescent="0.2">
      <c r="J119" s="34"/>
      <c r="K119" s="34" t="str">
        <f t="shared" si="27"/>
        <v/>
      </c>
      <c r="L119" s="34" t="str">
        <f t="shared" si="25"/>
        <v/>
      </c>
      <c r="M119" s="34" t="str">
        <f t="shared" si="28"/>
        <v/>
      </c>
      <c r="N119" s="34" t="str">
        <f t="shared" si="29"/>
        <v/>
      </c>
      <c r="O119" s="34" t="str">
        <f t="shared" si="26"/>
        <v/>
      </c>
      <c r="P119" s="34" t="str">
        <f>IF(A119="","",IFERROR(VLOOKUP(A119,'表3（采购界面）'!A:J,10,0),"NA"))</f>
        <v/>
      </c>
      <c r="Q119" s="34" t="str">
        <f>IF(A119="","",IFERROR(VLOOKUP(A119,'表3（采购界面）'!A:Z,11,0),"NA"))</f>
        <v/>
      </c>
      <c r="R119" s="34" t="str">
        <f t="shared" si="30"/>
        <v/>
      </c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</row>
    <row r="120" spans="10:33" x14ac:dyDescent="0.2">
      <c r="J120" s="34"/>
      <c r="K120" s="34" t="str">
        <f t="shared" si="27"/>
        <v/>
      </c>
      <c r="L120" s="34" t="str">
        <f t="shared" si="25"/>
        <v/>
      </c>
      <c r="M120" s="34" t="str">
        <f t="shared" si="28"/>
        <v/>
      </c>
      <c r="N120" s="34" t="str">
        <f t="shared" si="29"/>
        <v/>
      </c>
      <c r="O120" s="34" t="str">
        <f t="shared" si="26"/>
        <v/>
      </c>
      <c r="P120" s="34" t="str">
        <f>IF(A120="","",IFERROR(VLOOKUP(A120,'表3（采购界面）'!A:J,10,0),"NA"))</f>
        <v/>
      </c>
      <c r="Q120" s="34" t="str">
        <f>IF(A120="","",IFERROR(VLOOKUP(A120,'表3（采购界面）'!A:Z,11,0),"NA"))</f>
        <v/>
      </c>
      <c r="R120" s="34" t="str">
        <f t="shared" si="30"/>
        <v/>
      </c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</row>
    <row r="121" spans="10:33" x14ac:dyDescent="0.2">
      <c r="J121" s="34"/>
      <c r="K121" s="34" t="str">
        <f t="shared" si="27"/>
        <v/>
      </c>
      <c r="L121" s="34" t="str">
        <f t="shared" si="25"/>
        <v/>
      </c>
      <c r="M121" s="34" t="str">
        <f t="shared" si="28"/>
        <v/>
      </c>
      <c r="N121" s="34" t="str">
        <f t="shared" si="29"/>
        <v/>
      </c>
      <c r="O121" s="34" t="str">
        <f t="shared" si="26"/>
        <v/>
      </c>
      <c r="P121" s="34" t="str">
        <f>IF(A121="","",IFERROR(VLOOKUP(A121,'表3（采购界面）'!A:J,10,0),"NA"))</f>
        <v/>
      </c>
      <c r="Q121" s="34" t="str">
        <f>IF(A121="","",IFERROR(VLOOKUP(A121,'表3（采购界面）'!A:Z,11,0),"NA"))</f>
        <v/>
      </c>
      <c r="R121" s="34" t="str">
        <f t="shared" si="30"/>
        <v/>
      </c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</row>
    <row r="122" spans="10:33" x14ac:dyDescent="0.2">
      <c r="J122" s="34"/>
      <c r="K122" s="34" t="str">
        <f t="shared" si="27"/>
        <v/>
      </c>
      <c r="L122" s="34" t="str">
        <f t="shared" si="25"/>
        <v/>
      </c>
      <c r="M122" s="34" t="str">
        <f t="shared" si="28"/>
        <v/>
      </c>
      <c r="N122" s="34" t="str">
        <f t="shared" si="29"/>
        <v/>
      </c>
      <c r="O122" s="34" t="str">
        <f t="shared" si="26"/>
        <v/>
      </c>
      <c r="P122" s="34" t="str">
        <f>IF(A122="","",IFERROR(VLOOKUP(A122,'表3（采购界面）'!A:J,10,0),"NA"))</f>
        <v/>
      </c>
      <c r="Q122" s="34" t="str">
        <f>IF(A122="","",IFERROR(VLOOKUP(A122,'表3（采购界面）'!A:Z,11,0),"NA"))</f>
        <v/>
      </c>
      <c r="R122" s="34" t="str">
        <f t="shared" si="30"/>
        <v/>
      </c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</row>
    <row r="123" spans="10:33" x14ac:dyDescent="0.2">
      <c r="J123" s="34"/>
      <c r="K123" s="34" t="str">
        <f t="shared" si="27"/>
        <v/>
      </c>
      <c r="L123" s="34" t="str">
        <f t="shared" si="25"/>
        <v/>
      </c>
      <c r="M123" s="34" t="str">
        <f t="shared" si="28"/>
        <v/>
      </c>
      <c r="N123" s="34" t="str">
        <f t="shared" si="29"/>
        <v/>
      </c>
      <c r="O123" s="34" t="str">
        <f t="shared" si="26"/>
        <v/>
      </c>
      <c r="P123" s="34" t="str">
        <f>IF(A123="","",IFERROR(VLOOKUP(A123,'表3（采购界面）'!A:J,10,0),"NA"))</f>
        <v/>
      </c>
      <c r="Q123" s="34" t="str">
        <f>IF(A123="","",IFERROR(VLOOKUP(A123,'表3（采购界面）'!A:Z,11,0),"NA"))</f>
        <v/>
      </c>
      <c r="R123" s="34" t="str">
        <f t="shared" si="30"/>
        <v/>
      </c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</row>
    <row r="124" spans="10:33" x14ac:dyDescent="0.2">
      <c r="J124" s="34"/>
      <c r="K124" s="34" t="str">
        <f t="shared" si="27"/>
        <v/>
      </c>
      <c r="L124" s="34" t="str">
        <f t="shared" si="25"/>
        <v/>
      </c>
      <c r="M124" s="34" t="str">
        <f t="shared" si="28"/>
        <v/>
      </c>
      <c r="N124" s="34" t="str">
        <f t="shared" si="29"/>
        <v/>
      </c>
      <c r="O124" s="34" t="str">
        <f t="shared" si="26"/>
        <v/>
      </c>
      <c r="P124" s="34" t="str">
        <f>IF(A124="","",IFERROR(VLOOKUP(A124,'表3（采购界面）'!A:J,10,0),"NA"))</f>
        <v/>
      </c>
      <c r="Q124" s="34" t="str">
        <f>IF(A124="","",IFERROR(VLOOKUP(A124,'表3（采购界面）'!A:Z,11,0),"NA"))</f>
        <v/>
      </c>
      <c r="R124" s="34" t="str">
        <f t="shared" si="30"/>
        <v/>
      </c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</row>
    <row r="125" spans="10:33" x14ac:dyDescent="0.2">
      <c r="J125" s="34"/>
      <c r="K125" s="34" t="str">
        <f t="shared" si="27"/>
        <v/>
      </c>
      <c r="L125" s="34" t="str">
        <f t="shared" si="25"/>
        <v/>
      </c>
      <c r="M125" s="34" t="str">
        <f t="shared" si="28"/>
        <v/>
      </c>
      <c r="N125" s="34" t="str">
        <f t="shared" si="29"/>
        <v/>
      </c>
      <c r="O125" s="34" t="str">
        <f t="shared" si="26"/>
        <v/>
      </c>
      <c r="P125" s="34" t="str">
        <f>IF(A125="","",IFERROR(VLOOKUP(A125,'表3（采购界面）'!A:J,10,0),"NA"))</f>
        <v/>
      </c>
      <c r="Q125" s="34" t="str">
        <f>IF(A125="","",IFERROR(VLOOKUP(A125,'表3（采购界面）'!A:Z,11,0),"NA"))</f>
        <v/>
      </c>
      <c r="R125" s="34" t="str">
        <f t="shared" si="30"/>
        <v/>
      </c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</row>
    <row r="126" spans="10:33" x14ac:dyDescent="0.2">
      <c r="J126" s="34"/>
      <c r="K126" s="34" t="str">
        <f t="shared" si="27"/>
        <v/>
      </c>
      <c r="L126" s="34" t="str">
        <f t="shared" si="25"/>
        <v/>
      </c>
      <c r="M126" s="34" t="str">
        <f t="shared" si="28"/>
        <v/>
      </c>
      <c r="N126" s="34" t="str">
        <f t="shared" si="29"/>
        <v/>
      </c>
      <c r="O126" s="34" t="str">
        <f t="shared" si="26"/>
        <v/>
      </c>
      <c r="P126" s="34" t="str">
        <f>IF(A126="","",IFERROR(VLOOKUP(A126,'表3（采购界面）'!A:J,10,0),"NA"))</f>
        <v/>
      </c>
      <c r="Q126" s="34" t="str">
        <f>IF(A126="","",IFERROR(VLOOKUP(A126,'表3（采购界面）'!A:Z,11,0),"NA"))</f>
        <v/>
      </c>
      <c r="R126" s="34" t="str">
        <f t="shared" si="30"/>
        <v/>
      </c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</row>
    <row r="127" spans="10:33" x14ac:dyDescent="0.2">
      <c r="J127" s="34"/>
      <c r="K127" s="34" t="str">
        <f t="shared" si="27"/>
        <v/>
      </c>
      <c r="L127" s="34" t="str">
        <f t="shared" si="25"/>
        <v/>
      </c>
      <c r="M127" s="34" t="str">
        <f t="shared" si="28"/>
        <v/>
      </c>
      <c r="N127" s="34" t="str">
        <f t="shared" si="29"/>
        <v/>
      </c>
      <c r="O127" s="34" t="str">
        <f t="shared" si="26"/>
        <v/>
      </c>
      <c r="P127" s="34" t="str">
        <f>IF(A127="","",IFERROR(VLOOKUP(A127,'表3（采购界面）'!A:J,10,0),"NA"))</f>
        <v/>
      </c>
      <c r="Q127" s="34" t="str">
        <f>IF(A127="","",IFERROR(VLOOKUP(A127,'表3（采购界面）'!A:Z,11,0),"NA"))</f>
        <v/>
      </c>
      <c r="R127" s="34" t="str">
        <f t="shared" si="30"/>
        <v/>
      </c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</row>
    <row r="128" spans="10:33" x14ac:dyDescent="0.2">
      <c r="J128" s="34"/>
      <c r="K128" s="34" t="str">
        <f t="shared" si="27"/>
        <v/>
      </c>
      <c r="L128" s="34" t="str">
        <f t="shared" si="25"/>
        <v/>
      </c>
      <c r="M128" s="34" t="str">
        <f t="shared" si="28"/>
        <v/>
      </c>
      <c r="N128" s="34" t="str">
        <f t="shared" si="29"/>
        <v/>
      </c>
      <c r="O128" s="34" t="str">
        <f t="shared" si="26"/>
        <v/>
      </c>
      <c r="P128" s="34" t="str">
        <f>IF(A128="","",IFERROR(VLOOKUP(A128,'表3（采购界面）'!A:J,10,0),"NA"))</f>
        <v/>
      </c>
      <c r="Q128" s="34" t="str">
        <f>IF(A128="","",IFERROR(VLOOKUP(A128,'表3（采购界面）'!A:Z,11,0),"NA"))</f>
        <v/>
      </c>
      <c r="R128" s="34" t="str">
        <f t="shared" si="30"/>
        <v/>
      </c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</row>
    <row r="129" spans="10:33" x14ac:dyDescent="0.2">
      <c r="J129" s="34"/>
      <c r="K129" s="34" t="str">
        <f t="shared" si="27"/>
        <v/>
      </c>
      <c r="L129" s="34" t="str">
        <f t="shared" si="25"/>
        <v/>
      </c>
      <c r="M129" s="34" t="str">
        <f t="shared" si="28"/>
        <v/>
      </c>
      <c r="N129" s="34" t="str">
        <f t="shared" si="29"/>
        <v/>
      </c>
      <c r="O129" s="34" t="str">
        <f t="shared" si="26"/>
        <v/>
      </c>
      <c r="P129" s="34" t="str">
        <f>IF(A129="","",IFERROR(VLOOKUP(A129,'表3（采购界面）'!A:J,10,0),"NA"))</f>
        <v/>
      </c>
      <c r="Q129" s="34" t="str">
        <f>IF(A129="","",IFERROR(VLOOKUP(A129,'表3（采购界面）'!A:Z,11,0),"NA"))</f>
        <v/>
      </c>
      <c r="R129" s="34" t="str">
        <f t="shared" si="30"/>
        <v/>
      </c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</row>
    <row r="130" spans="10:33" x14ac:dyDescent="0.2">
      <c r="J130" s="34"/>
      <c r="K130" s="34" t="str">
        <f t="shared" si="27"/>
        <v/>
      </c>
      <c r="L130" s="34" t="str">
        <f t="shared" si="25"/>
        <v/>
      </c>
      <c r="M130" s="34" t="str">
        <f t="shared" si="28"/>
        <v/>
      </c>
      <c r="N130" s="34" t="str">
        <f t="shared" si="29"/>
        <v/>
      </c>
      <c r="O130" s="34" t="str">
        <f t="shared" si="26"/>
        <v/>
      </c>
      <c r="P130" s="34" t="str">
        <f>IF(A130="","",IFERROR(VLOOKUP(A130,'表3（采购界面）'!A:J,10,0),"NA"))</f>
        <v/>
      </c>
      <c r="Q130" s="34" t="str">
        <f>IF(A130="","",IFERROR(VLOOKUP(A130,'表3（采购界面）'!A:Z,11,0),"NA"))</f>
        <v/>
      </c>
      <c r="R130" s="34" t="str">
        <f t="shared" si="30"/>
        <v/>
      </c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</row>
    <row r="131" spans="10:33" x14ac:dyDescent="0.2">
      <c r="J131" s="34"/>
      <c r="K131" s="34" t="str">
        <f t="shared" si="27"/>
        <v/>
      </c>
      <c r="L131" s="34" t="str">
        <f t="shared" si="25"/>
        <v/>
      </c>
      <c r="M131" s="34" t="str">
        <f t="shared" si="28"/>
        <v/>
      </c>
      <c r="N131" s="34" t="str">
        <f t="shared" si="29"/>
        <v/>
      </c>
      <c r="O131" s="34" t="str">
        <f t="shared" si="26"/>
        <v/>
      </c>
      <c r="P131" s="34" t="str">
        <f>IF(A131="","",IFERROR(VLOOKUP(A131,'表3（采购界面）'!A:J,10,0),"NA"))</f>
        <v/>
      </c>
      <c r="Q131" s="34" t="str">
        <f>IF(A131="","",IFERROR(VLOOKUP(A131,'表3（采购界面）'!A:Z,11,0),"NA"))</f>
        <v/>
      </c>
      <c r="R131" s="34" t="str">
        <f t="shared" si="30"/>
        <v/>
      </c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</row>
    <row r="132" spans="10:33" x14ac:dyDescent="0.2">
      <c r="J132" s="34"/>
      <c r="K132" s="34" t="str">
        <f t="shared" si="27"/>
        <v/>
      </c>
      <c r="L132" s="34" t="str">
        <f t="shared" si="25"/>
        <v/>
      </c>
      <c r="M132" s="34" t="str">
        <f t="shared" si="28"/>
        <v/>
      </c>
      <c r="N132" s="34" t="str">
        <f t="shared" si="29"/>
        <v/>
      </c>
      <c r="O132" s="34" t="str">
        <f t="shared" si="26"/>
        <v/>
      </c>
      <c r="P132" s="34" t="str">
        <f>IF(A132="","",IFERROR(VLOOKUP(A132,'表3（采购界面）'!A:J,10,0),"NA"))</f>
        <v/>
      </c>
      <c r="Q132" s="34" t="str">
        <f>IF(A132="","",IFERROR(VLOOKUP(A132,'表3（采购界面）'!A:Z,11,0),"NA"))</f>
        <v/>
      </c>
      <c r="R132" s="34" t="str">
        <f t="shared" si="30"/>
        <v/>
      </c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</row>
    <row r="133" spans="10:33" x14ac:dyDescent="0.2">
      <c r="J133" s="34"/>
      <c r="K133" s="34" t="str">
        <f t="shared" si="27"/>
        <v/>
      </c>
      <c r="L133" s="34" t="str">
        <f t="shared" ref="L133:L196" si="31">_xlfn.IFS(LEFT(A133)="1","MB",LEFT(A133)="2","WB",LEFT(A133)="3","WB",AND(LEFT(A133)="4",D133&lt;&gt;"中国",J133&lt;&gt;"Y01"),"FX",A133&lt;&gt;"","EX",A133="","")</f>
        <v/>
      </c>
      <c r="M133" s="34" t="str">
        <f t="shared" si="28"/>
        <v/>
      </c>
      <c r="N133" s="34" t="str">
        <f t="shared" si="29"/>
        <v/>
      </c>
      <c r="O133" s="34" t="str">
        <f t="shared" ref="O133:O196" si="32">IF(OR(LEFT(A133,1)="4",LEFT(A133,1)="5"),"NA","")</f>
        <v/>
      </c>
      <c r="P133" s="34" t="str">
        <f>IF(A133="","",IFERROR(VLOOKUP(A133,'表3（采购界面）'!A:J,10,0),"NA"))</f>
        <v/>
      </c>
      <c r="Q133" s="34" t="str">
        <f>IF(A133="","",IFERROR(VLOOKUP(A133,'表3（采购界面）'!A:Z,11,0),"NA"))</f>
        <v/>
      </c>
      <c r="R133" s="34" t="str">
        <f t="shared" si="30"/>
        <v/>
      </c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</row>
    <row r="134" spans="10:33" x14ac:dyDescent="0.2">
      <c r="J134" s="34"/>
      <c r="K134" s="34" t="str">
        <f t="shared" ref="K134:K197" si="33">_xlfn.IFS(AND(LEFT(A134,1)="4",D134="中国"),"ND",AND(LEFT(A134,1)="5",D134="中国"),"ND",AND(LEFT(A134,1)="5",D134&lt;&gt;"中国"),"M2",A134="","",A134&lt;&gt;"","PD")</f>
        <v/>
      </c>
      <c r="L134" s="34" t="str">
        <f t="shared" si="31"/>
        <v/>
      </c>
      <c r="M134" s="34" t="str">
        <f t="shared" ref="M134:M197" si="34">IF(OR(L134="FX",L134=""),"","NA")</f>
        <v/>
      </c>
      <c r="N134" s="34" t="str">
        <f t="shared" ref="N134:N197" si="35">IF(A134="","","NA")</f>
        <v/>
      </c>
      <c r="O134" s="34" t="str">
        <f t="shared" si="32"/>
        <v/>
      </c>
      <c r="P134" s="34" t="str">
        <f>IF(A134="","",IFERROR(VLOOKUP(A134,'表3（采购界面）'!A:J,10,0),"NA"))</f>
        <v/>
      </c>
      <c r="Q134" s="34" t="str">
        <f>IF(A134="","",IFERROR(VLOOKUP(A134,'表3（采购界面）'!A:Z,11,0),"NA"))</f>
        <v/>
      </c>
      <c r="R134" s="34" t="str">
        <f t="shared" ref="R134:R197" si="36">IF(A134="","",IF(OR(LEFT(A134,1)="1",LEFT(A134,1)="2",LEFT(A134,1)="3"),"F","E"))</f>
        <v/>
      </c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</row>
    <row r="135" spans="10:33" x14ac:dyDescent="0.2">
      <c r="J135" s="34"/>
      <c r="K135" s="34" t="str">
        <f t="shared" si="33"/>
        <v/>
      </c>
      <c r="L135" s="34" t="str">
        <f t="shared" si="31"/>
        <v/>
      </c>
      <c r="M135" s="34" t="str">
        <f t="shared" si="34"/>
        <v/>
      </c>
      <c r="N135" s="34" t="str">
        <f t="shared" si="35"/>
        <v/>
      </c>
      <c r="O135" s="34" t="str">
        <f t="shared" si="32"/>
        <v/>
      </c>
      <c r="P135" s="34" t="str">
        <f>IF(A135="","",IFERROR(VLOOKUP(A135,'表3（采购界面）'!A:J,10,0),"NA"))</f>
        <v/>
      </c>
      <c r="Q135" s="34" t="str">
        <f>IF(A135="","",IFERROR(VLOOKUP(A135,'表3（采购界面）'!A:Z,11,0),"NA"))</f>
        <v/>
      </c>
      <c r="R135" s="34" t="str">
        <f t="shared" si="36"/>
        <v/>
      </c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</row>
    <row r="136" spans="10:33" x14ac:dyDescent="0.2">
      <c r="J136" s="34"/>
      <c r="K136" s="34" t="str">
        <f t="shared" si="33"/>
        <v/>
      </c>
      <c r="L136" s="34" t="str">
        <f t="shared" si="31"/>
        <v/>
      </c>
      <c r="M136" s="34" t="str">
        <f t="shared" si="34"/>
        <v/>
      </c>
      <c r="N136" s="34" t="str">
        <f t="shared" si="35"/>
        <v/>
      </c>
      <c r="O136" s="34" t="str">
        <f t="shared" si="32"/>
        <v/>
      </c>
      <c r="P136" s="34" t="str">
        <f>IF(A136="","",IFERROR(VLOOKUP(A136,'表3（采购界面）'!A:J,10,0),"NA"))</f>
        <v/>
      </c>
      <c r="Q136" s="34" t="str">
        <f>IF(A136="","",IFERROR(VLOOKUP(A136,'表3（采购界面）'!A:Z,11,0),"NA"))</f>
        <v/>
      </c>
      <c r="R136" s="34" t="str">
        <f t="shared" si="36"/>
        <v/>
      </c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</row>
    <row r="137" spans="10:33" x14ac:dyDescent="0.2">
      <c r="J137" s="34"/>
      <c r="K137" s="34" t="str">
        <f t="shared" si="33"/>
        <v/>
      </c>
      <c r="L137" s="34" t="str">
        <f t="shared" si="31"/>
        <v/>
      </c>
      <c r="M137" s="34" t="str">
        <f t="shared" si="34"/>
        <v/>
      </c>
      <c r="N137" s="34" t="str">
        <f t="shared" si="35"/>
        <v/>
      </c>
      <c r="O137" s="34" t="str">
        <f t="shared" si="32"/>
        <v/>
      </c>
      <c r="P137" s="34" t="str">
        <f>IF(A137="","",IFERROR(VLOOKUP(A137,'表3（采购界面）'!A:J,10,0),"NA"))</f>
        <v/>
      </c>
      <c r="Q137" s="34" t="str">
        <f>IF(A137="","",IFERROR(VLOOKUP(A137,'表3（采购界面）'!A:Z,11,0),"NA"))</f>
        <v/>
      </c>
      <c r="R137" s="34" t="str">
        <f t="shared" si="36"/>
        <v/>
      </c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</row>
    <row r="138" spans="10:33" x14ac:dyDescent="0.2">
      <c r="J138" s="34"/>
      <c r="K138" s="34" t="str">
        <f t="shared" si="33"/>
        <v/>
      </c>
      <c r="L138" s="34" t="str">
        <f t="shared" si="31"/>
        <v/>
      </c>
      <c r="M138" s="34" t="str">
        <f t="shared" si="34"/>
        <v/>
      </c>
      <c r="N138" s="34" t="str">
        <f t="shared" si="35"/>
        <v/>
      </c>
      <c r="O138" s="34" t="str">
        <f t="shared" si="32"/>
        <v/>
      </c>
      <c r="P138" s="34" t="str">
        <f>IF(A138="","",IFERROR(VLOOKUP(A138,'表3（采购界面）'!A:J,10,0),"NA"))</f>
        <v/>
      </c>
      <c r="Q138" s="34" t="str">
        <f>IF(A138="","",IFERROR(VLOOKUP(A138,'表3（采购界面）'!A:Z,11,0),"NA"))</f>
        <v/>
      </c>
      <c r="R138" s="34" t="str">
        <f t="shared" si="36"/>
        <v/>
      </c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</row>
    <row r="139" spans="10:33" x14ac:dyDescent="0.2">
      <c r="J139" s="34"/>
      <c r="K139" s="34" t="str">
        <f t="shared" si="33"/>
        <v/>
      </c>
      <c r="L139" s="34" t="str">
        <f t="shared" si="31"/>
        <v/>
      </c>
      <c r="M139" s="34" t="str">
        <f t="shared" si="34"/>
        <v/>
      </c>
      <c r="N139" s="34" t="str">
        <f t="shared" si="35"/>
        <v/>
      </c>
      <c r="O139" s="34" t="str">
        <f t="shared" si="32"/>
        <v/>
      </c>
      <c r="P139" s="34" t="str">
        <f>IF(A139="","",IFERROR(VLOOKUP(A139,'表3（采购界面）'!A:J,10,0),"NA"))</f>
        <v/>
      </c>
      <c r="Q139" s="34" t="str">
        <f>IF(A139="","",IFERROR(VLOOKUP(A139,'表3（采购界面）'!A:Z,11,0),"NA"))</f>
        <v/>
      </c>
      <c r="R139" s="34" t="str">
        <f t="shared" si="36"/>
        <v/>
      </c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</row>
    <row r="140" spans="10:33" x14ac:dyDescent="0.2">
      <c r="J140" s="34"/>
      <c r="K140" s="34" t="str">
        <f t="shared" si="33"/>
        <v/>
      </c>
      <c r="L140" s="34" t="str">
        <f t="shared" si="31"/>
        <v/>
      </c>
      <c r="M140" s="34" t="str">
        <f t="shared" si="34"/>
        <v/>
      </c>
      <c r="N140" s="34" t="str">
        <f t="shared" si="35"/>
        <v/>
      </c>
      <c r="O140" s="34" t="str">
        <f t="shared" si="32"/>
        <v/>
      </c>
      <c r="P140" s="34" t="str">
        <f>IF(A140="","",IFERROR(VLOOKUP(A140,'表3（采购界面）'!A:J,10,0),"NA"))</f>
        <v/>
      </c>
      <c r="Q140" s="34" t="str">
        <f>IF(A140="","",IFERROR(VLOOKUP(A140,'表3（采购界面）'!A:Z,11,0),"NA"))</f>
        <v/>
      </c>
      <c r="R140" s="34" t="str">
        <f t="shared" si="36"/>
        <v/>
      </c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</row>
    <row r="141" spans="10:33" x14ac:dyDescent="0.2">
      <c r="J141" s="34"/>
      <c r="K141" s="34" t="str">
        <f t="shared" si="33"/>
        <v/>
      </c>
      <c r="L141" s="34" t="str">
        <f t="shared" si="31"/>
        <v/>
      </c>
      <c r="M141" s="34" t="str">
        <f t="shared" si="34"/>
        <v/>
      </c>
      <c r="N141" s="34" t="str">
        <f t="shared" si="35"/>
        <v/>
      </c>
      <c r="O141" s="34" t="str">
        <f t="shared" si="32"/>
        <v/>
      </c>
      <c r="P141" s="34" t="str">
        <f>IF(A141="","",IFERROR(VLOOKUP(A141,'表3（采购界面）'!A:J,10,0),"NA"))</f>
        <v/>
      </c>
      <c r="Q141" s="34" t="str">
        <f>IF(A141="","",IFERROR(VLOOKUP(A141,'表3（采购界面）'!A:Z,11,0),"NA"))</f>
        <v/>
      </c>
      <c r="R141" s="34" t="str">
        <f t="shared" si="36"/>
        <v/>
      </c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</row>
    <row r="142" spans="10:33" x14ac:dyDescent="0.2">
      <c r="J142" s="34"/>
      <c r="K142" s="34" t="str">
        <f t="shared" si="33"/>
        <v/>
      </c>
      <c r="L142" s="34" t="str">
        <f t="shared" si="31"/>
        <v/>
      </c>
      <c r="M142" s="34" t="str">
        <f t="shared" si="34"/>
        <v/>
      </c>
      <c r="N142" s="34" t="str">
        <f t="shared" si="35"/>
        <v/>
      </c>
      <c r="O142" s="34" t="str">
        <f t="shared" si="32"/>
        <v/>
      </c>
      <c r="P142" s="34" t="str">
        <f>IF(A142="","",IFERROR(VLOOKUP(A142,'表3（采购界面）'!A:J,10,0),"NA"))</f>
        <v/>
      </c>
      <c r="Q142" s="34" t="str">
        <f>IF(A142="","",IFERROR(VLOOKUP(A142,'表3（采购界面）'!A:Z,11,0),"NA"))</f>
        <v/>
      </c>
      <c r="R142" s="34" t="str">
        <f t="shared" si="36"/>
        <v/>
      </c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</row>
    <row r="143" spans="10:33" x14ac:dyDescent="0.2">
      <c r="J143" s="34"/>
      <c r="K143" s="34" t="str">
        <f t="shared" si="33"/>
        <v/>
      </c>
      <c r="L143" s="34" t="str">
        <f t="shared" si="31"/>
        <v/>
      </c>
      <c r="M143" s="34" t="str">
        <f t="shared" si="34"/>
        <v/>
      </c>
      <c r="N143" s="34" t="str">
        <f t="shared" si="35"/>
        <v/>
      </c>
      <c r="O143" s="34" t="str">
        <f t="shared" si="32"/>
        <v/>
      </c>
      <c r="P143" s="34" t="str">
        <f>IF(A143="","",IFERROR(VLOOKUP(A143,'表3（采购界面）'!A:J,10,0),"NA"))</f>
        <v/>
      </c>
      <c r="Q143" s="34" t="str">
        <f>IF(A143="","",IFERROR(VLOOKUP(A143,'表3（采购界面）'!A:Z,11,0),"NA"))</f>
        <v/>
      </c>
      <c r="R143" s="34" t="str">
        <f t="shared" si="36"/>
        <v/>
      </c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</row>
    <row r="144" spans="10:33" x14ac:dyDescent="0.2">
      <c r="J144" s="34"/>
      <c r="K144" s="34" t="str">
        <f t="shared" si="33"/>
        <v/>
      </c>
      <c r="L144" s="34" t="str">
        <f t="shared" si="31"/>
        <v/>
      </c>
      <c r="M144" s="34" t="str">
        <f t="shared" si="34"/>
        <v/>
      </c>
      <c r="N144" s="34" t="str">
        <f t="shared" si="35"/>
        <v/>
      </c>
      <c r="O144" s="34" t="str">
        <f t="shared" si="32"/>
        <v/>
      </c>
      <c r="P144" s="34" t="str">
        <f>IF(A144="","",IFERROR(VLOOKUP(A144,'表3（采购界面）'!A:J,10,0),"NA"))</f>
        <v/>
      </c>
      <c r="Q144" s="34" t="str">
        <f>IF(A144="","",IFERROR(VLOOKUP(A144,'表3（采购界面）'!A:Z,11,0),"NA"))</f>
        <v/>
      </c>
      <c r="R144" s="34" t="str">
        <f t="shared" si="36"/>
        <v/>
      </c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</row>
    <row r="145" spans="10:33" x14ac:dyDescent="0.2">
      <c r="J145" s="34"/>
      <c r="K145" s="34" t="str">
        <f t="shared" si="33"/>
        <v/>
      </c>
      <c r="L145" s="34" t="str">
        <f t="shared" si="31"/>
        <v/>
      </c>
      <c r="M145" s="34" t="str">
        <f t="shared" si="34"/>
        <v/>
      </c>
      <c r="N145" s="34" t="str">
        <f t="shared" si="35"/>
        <v/>
      </c>
      <c r="O145" s="34" t="str">
        <f t="shared" si="32"/>
        <v/>
      </c>
      <c r="P145" s="34" t="str">
        <f>IF(A145="","",IFERROR(VLOOKUP(A145,'表3（采购界面）'!A:J,10,0),"NA"))</f>
        <v/>
      </c>
      <c r="Q145" s="34" t="str">
        <f>IF(A145="","",IFERROR(VLOOKUP(A145,'表3（采购界面）'!A:Z,11,0),"NA"))</f>
        <v/>
      </c>
      <c r="R145" s="34" t="str">
        <f t="shared" si="36"/>
        <v/>
      </c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</row>
    <row r="146" spans="10:33" x14ac:dyDescent="0.2">
      <c r="J146" s="34"/>
      <c r="K146" s="34" t="str">
        <f t="shared" si="33"/>
        <v/>
      </c>
      <c r="L146" s="34" t="str">
        <f t="shared" si="31"/>
        <v/>
      </c>
      <c r="M146" s="34" t="str">
        <f t="shared" si="34"/>
        <v/>
      </c>
      <c r="N146" s="34" t="str">
        <f t="shared" si="35"/>
        <v/>
      </c>
      <c r="O146" s="34" t="str">
        <f t="shared" si="32"/>
        <v/>
      </c>
      <c r="P146" s="34" t="str">
        <f>IF(A146="","",IFERROR(VLOOKUP(A146,'表3（采购界面）'!A:J,10,0),"NA"))</f>
        <v/>
      </c>
      <c r="Q146" s="34" t="str">
        <f>IF(A146="","",IFERROR(VLOOKUP(A146,'表3（采购界面）'!A:Z,11,0),"NA"))</f>
        <v/>
      </c>
      <c r="R146" s="34" t="str">
        <f t="shared" si="36"/>
        <v/>
      </c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</row>
    <row r="147" spans="10:33" x14ac:dyDescent="0.2">
      <c r="J147" s="34"/>
      <c r="K147" s="34" t="str">
        <f t="shared" si="33"/>
        <v/>
      </c>
      <c r="L147" s="34" t="str">
        <f t="shared" si="31"/>
        <v/>
      </c>
      <c r="M147" s="34" t="str">
        <f t="shared" si="34"/>
        <v/>
      </c>
      <c r="N147" s="34" t="str">
        <f t="shared" si="35"/>
        <v/>
      </c>
      <c r="O147" s="34" t="str">
        <f t="shared" si="32"/>
        <v/>
      </c>
      <c r="P147" s="34" t="str">
        <f>IF(A147="","",IFERROR(VLOOKUP(A147,'表3（采购界面）'!A:J,10,0),"NA"))</f>
        <v/>
      </c>
      <c r="Q147" s="34" t="str">
        <f>IF(A147="","",IFERROR(VLOOKUP(A147,'表3（采购界面）'!A:Z,11,0),"NA"))</f>
        <v/>
      </c>
      <c r="R147" s="34" t="str">
        <f t="shared" si="36"/>
        <v/>
      </c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</row>
    <row r="148" spans="10:33" x14ac:dyDescent="0.2">
      <c r="J148" s="34"/>
      <c r="K148" s="34" t="str">
        <f t="shared" si="33"/>
        <v/>
      </c>
      <c r="L148" s="34" t="str">
        <f t="shared" si="31"/>
        <v/>
      </c>
      <c r="M148" s="34" t="str">
        <f t="shared" si="34"/>
        <v/>
      </c>
      <c r="N148" s="34" t="str">
        <f t="shared" si="35"/>
        <v/>
      </c>
      <c r="O148" s="34" t="str">
        <f t="shared" si="32"/>
        <v/>
      </c>
      <c r="P148" s="34" t="str">
        <f>IF(A148="","",IFERROR(VLOOKUP(A148,'表3（采购界面）'!A:J,10,0),"NA"))</f>
        <v/>
      </c>
      <c r="Q148" s="34" t="str">
        <f>IF(A148="","",IFERROR(VLOOKUP(A148,'表3（采购界面）'!A:Z,11,0),"NA"))</f>
        <v/>
      </c>
      <c r="R148" s="34" t="str">
        <f t="shared" si="36"/>
        <v/>
      </c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</row>
    <row r="149" spans="10:33" x14ac:dyDescent="0.2">
      <c r="J149" s="34"/>
      <c r="K149" s="34" t="str">
        <f t="shared" si="33"/>
        <v/>
      </c>
      <c r="L149" s="34" t="str">
        <f t="shared" si="31"/>
        <v/>
      </c>
      <c r="M149" s="34" t="str">
        <f t="shared" si="34"/>
        <v/>
      </c>
      <c r="N149" s="34" t="str">
        <f t="shared" si="35"/>
        <v/>
      </c>
      <c r="O149" s="34" t="str">
        <f t="shared" si="32"/>
        <v/>
      </c>
      <c r="P149" s="34" t="str">
        <f>IF(A149="","",IFERROR(VLOOKUP(A149,'表3（采购界面）'!A:J,10,0),"NA"))</f>
        <v/>
      </c>
      <c r="Q149" s="34" t="str">
        <f>IF(A149="","",IFERROR(VLOOKUP(A149,'表3（采购界面）'!A:Z,11,0),"NA"))</f>
        <v/>
      </c>
      <c r="R149" s="34" t="str">
        <f t="shared" si="36"/>
        <v/>
      </c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</row>
    <row r="150" spans="10:33" x14ac:dyDescent="0.2">
      <c r="J150" s="34"/>
      <c r="K150" s="34" t="str">
        <f t="shared" si="33"/>
        <v/>
      </c>
      <c r="L150" s="34" t="str">
        <f t="shared" si="31"/>
        <v/>
      </c>
      <c r="M150" s="34" t="str">
        <f t="shared" si="34"/>
        <v/>
      </c>
      <c r="N150" s="34" t="str">
        <f t="shared" si="35"/>
        <v/>
      </c>
      <c r="O150" s="34" t="str">
        <f t="shared" si="32"/>
        <v/>
      </c>
      <c r="P150" s="34" t="str">
        <f>IF(A150="","",IFERROR(VLOOKUP(A150,'表3（采购界面）'!A:J,10,0),"NA"))</f>
        <v/>
      </c>
      <c r="Q150" s="34" t="str">
        <f>IF(A150="","",IFERROR(VLOOKUP(A150,'表3（采购界面）'!A:Z,11,0),"NA"))</f>
        <v/>
      </c>
      <c r="R150" s="34" t="str">
        <f t="shared" si="36"/>
        <v/>
      </c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</row>
    <row r="151" spans="10:33" x14ac:dyDescent="0.2">
      <c r="J151" s="34"/>
      <c r="K151" s="34" t="str">
        <f t="shared" si="33"/>
        <v/>
      </c>
      <c r="L151" s="34" t="str">
        <f t="shared" si="31"/>
        <v/>
      </c>
      <c r="M151" s="34" t="str">
        <f t="shared" si="34"/>
        <v/>
      </c>
      <c r="N151" s="34" t="str">
        <f t="shared" si="35"/>
        <v/>
      </c>
      <c r="O151" s="34" t="str">
        <f t="shared" si="32"/>
        <v/>
      </c>
      <c r="P151" s="34" t="str">
        <f>IF(A151="","",IFERROR(VLOOKUP(A151,'表3（采购界面）'!A:J,10,0),"NA"))</f>
        <v/>
      </c>
      <c r="Q151" s="34" t="str">
        <f>IF(A151="","",IFERROR(VLOOKUP(A151,'表3（采购界面）'!A:Z,11,0),"NA"))</f>
        <v/>
      </c>
      <c r="R151" s="34" t="str">
        <f t="shared" si="36"/>
        <v/>
      </c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</row>
    <row r="152" spans="10:33" x14ac:dyDescent="0.2">
      <c r="J152" s="34"/>
      <c r="K152" s="34" t="str">
        <f t="shared" si="33"/>
        <v/>
      </c>
      <c r="L152" s="34" t="str">
        <f t="shared" si="31"/>
        <v/>
      </c>
      <c r="M152" s="34" t="str">
        <f t="shared" si="34"/>
        <v/>
      </c>
      <c r="N152" s="34" t="str">
        <f t="shared" si="35"/>
        <v/>
      </c>
      <c r="O152" s="34" t="str">
        <f t="shared" si="32"/>
        <v/>
      </c>
      <c r="P152" s="34" t="str">
        <f>IF(A152="","",IFERROR(VLOOKUP(A152,'表3（采购界面）'!A:J,10,0),"NA"))</f>
        <v/>
      </c>
      <c r="Q152" s="34" t="str">
        <f>IF(A152="","",IFERROR(VLOOKUP(A152,'表3（采购界面）'!A:Z,11,0),"NA"))</f>
        <v/>
      </c>
      <c r="R152" s="34" t="str">
        <f t="shared" si="36"/>
        <v/>
      </c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</row>
    <row r="153" spans="10:33" x14ac:dyDescent="0.2">
      <c r="J153" s="34"/>
      <c r="K153" s="34" t="str">
        <f t="shared" si="33"/>
        <v/>
      </c>
      <c r="L153" s="34" t="str">
        <f t="shared" si="31"/>
        <v/>
      </c>
      <c r="M153" s="34" t="str">
        <f t="shared" si="34"/>
        <v/>
      </c>
      <c r="N153" s="34" t="str">
        <f t="shared" si="35"/>
        <v/>
      </c>
      <c r="O153" s="34" t="str">
        <f t="shared" si="32"/>
        <v/>
      </c>
      <c r="P153" s="34" t="str">
        <f>IF(A153="","",IFERROR(VLOOKUP(A153,'表3（采购界面）'!A:J,10,0),"NA"))</f>
        <v/>
      </c>
      <c r="Q153" s="34" t="str">
        <f>IF(A153="","",IFERROR(VLOOKUP(A153,'表3（采购界面）'!A:Z,11,0),"NA"))</f>
        <v/>
      </c>
      <c r="R153" s="34" t="str">
        <f t="shared" si="36"/>
        <v/>
      </c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</row>
    <row r="154" spans="10:33" x14ac:dyDescent="0.2">
      <c r="J154" s="34"/>
      <c r="K154" s="34" t="str">
        <f t="shared" si="33"/>
        <v/>
      </c>
      <c r="L154" s="34" t="str">
        <f t="shared" si="31"/>
        <v/>
      </c>
      <c r="M154" s="34" t="str">
        <f t="shared" si="34"/>
        <v/>
      </c>
      <c r="N154" s="34" t="str">
        <f t="shared" si="35"/>
        <v/>
      </c>
      <c r="O154" s="34" t="str">
        <f t="shared" si="32"/>
        <v/>
      </c>
      <c r="P154" s="34" t="str">
        <f>IF(A154="","",IFERROR(VLOOKUP(A154,'表3（采购界面）'!A:J,10,0),"NA"))</f>
        <v/>
      </c>
      <c r="Q154" s="34" t="str">
        <f>IF(A154="","",IFERROR(VLOOKUP(A154,'表3（采购界面）'!A:Z,11,0),"NA"))</f>
        <v/>
      </c>
      <c r="R154" s="34" t="str">
        <f t="shared" si="36"/>
        <v/>
      </c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</row>
    <row r="155" spans="10:33" x14ac:dyDescent="0.2">
      <c r="J155" s="34"/>
      <c r="K155" s="34" t="str">
        <f t="shared" si="33"/>
        <v/>
      </c>
      <c r="L155" s="34" t="str">
        <f t="shared" si="31"/>
        <v/>
      </c>
      <c r="M155" s="34" t="str">
        <f t="shared" si="34"/>
        <v/>
      </c>
      <c r="N155" s="34" t="str">
        <f t="shared" si="35"/>
        <v/>
      </c>
      <c r="O155" s="34" t="str">
        <f t="shared" si="32"/>
        <v/>
      </c>
      <c r="P155" s="34" t="str">
        <f>IF(A155="","",IFERROR(VLOOKUP(A155,'表3（采购界面）'!A:J,10,0),"NA"))</f>
        <v/>
      </c>
      <c r="Q155" s="34" t="str">
        <f>IF(A155="","",IFERROR(VLOOKUP(A155,'表3（采购界面）'!A:Z,11,0),"NA"))</f>
        <v/>
      </c>
      <c r="R155" s="34" t="str">
        <f t="shared" si="36"/>
        <v/>
      </c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</row>
    <row r="156" spans="10:33" x14ac:dyDescent="0.2">
      <c r="J156" s="34"/>
      <c r="K156" s="34" t="str">
        <f t="shared" si="33"/>
        <v/>
      </c>
      <c r="L156" s="34" t="str">
        <f t="shared" si="31"/>
        <v/>
      </c>
      <c r="M156" s="34" t="str">
        <f t="shared" si="34"/>
        <v/>
      </c>
      <c r="N156" s="34" t="str">
        <f t="shared" si="35"/>
        <v/>
      </c>
      <c r="O156" s="34" t="str">
        <f t="shared" si="32"/>
        <v/>
      </c>
      <c r="P156" s="34" t="str">
        <f>IF(A156="","",IFERROR(VLOOKUP(A156,'表3（采购界面）'!A:J,10,0),"NA"))</f>
        <v/>
      </c>
      <c r="Q156" s="34" t="str">
        <f>IF(A156="","",IFERROR(VLOOKUP(A156,'表3（采购界面）'!A:Z,11,0),"NA"))</f>
        <v/>
      </c>
      <c r="R156" s="34" t="str">
        <f t="shared" si="36"/>
        <v/>
      </c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</row>
    <row r="157" spans="10:33" x14ac:dyDescent="0.2">
      <c r="J157" s="34"/>
      <c r="K157" s="34" t="str">
        <f t="shared" si="33"/>
        <v/>
      </c>
      <c r="L157" s="34" t="str">
        <f t="shared" si="31"/>
        <v/>
      </c>
      <c r="M157" s="34" t="str">
        <f t="shared" si="34"/>
        <v/>
      </c>
      <c r="N157" s="34" t="str">
        <f t="shared" si="35"/>
        <v/>
      </c>
      <c r="O157" s="34" t="str">
        <f t="shared" si="32"/>
        <v/>
      </c>
      <c r="P157" s="34" t="str">
        <f>IF(A157="","",IFERROR(VLOOKUP(A157,'表3（采购界面）'!A:J,10,0),"NA"))</f>
        <v/>
      </c>
      <c r="Q157" s="34" t="str">
        <f>IF(A157="","",IFERROR(VLOOKUP(A157,'表3（采购界面）'!A:Z,11,0),"NA"))</f>
        <v/>
      </c>
      <c r="R157" s="34" t="str">
        <f t="shared" si="36"/>
        <v/>
      </c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</row>
    <row r="158" spans="10:33" x14ac:dyDescent="0.2">
      <c r="J158" s="34"/>
      <c r="K158" s="34" t="str">
        <f t="shared" si="33"/>
        <v/>
      </c>
      <c r="L158" s="34" t="str">
        <f t="shared" si="31"/>
        <v/>
      </c>
      <c r="M158" s="34" t="str">
        <f t="shared" si="34"/>
        <v/>
      </c>
      <c r="N158" s="34" t="str">
        <f t="shared" si="35"/>
        <v/>
      </c>
      <c r="O158" s="34" t="str">
        <f t="shared" si="32"/>
        <v/>
      </c>
      <c r="P158" s="34" t="str">
        <f>IF(A158="","",IFERROR(VLOOKUP(A158,'表3（采购界面）'!A:J,10,0),"NA"))</f>
        <v/>
      </c>
      <c r="Q158" s="34" t="str">
        <f>IF(A158="","",IFERROR(VLOOKUP(A158,'表3（采购界面）'!A:Z,11,0),"NA"))</f>
        <v/>
      </c>
      <c r="R158" s="34" t="str">
        <f t="shared" si="36"/>
        <v/>
      </c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</row>
    <row r="159" spans="10:33" x14ac:dyDescent="0.2">
      <c r="J159" s="34"/>
      <c r="K159" s="34" t="str">
        <f t="shared" si="33"/>
        <v/>
      </c>
      <c r="L159" s="34" t="str">
        <f t="shared" si="31"/>
        <v/>
      </c>
      <c r="M159" s="34" t="str">
        <f t="shared" si="34"/>
        <v/>
      </c>
      <c r="N159" s="34" t="str">
        <f t="shared" si="35"/>
        <v/>
      </c>
      <c r="O159" s="34" t="str">
        <f t="shared" si="32"/>
        <v/>
      </c>
      <c r="P159" s="34" t="str">
        <f>IF(A159="","",IFERROR(VLOOKUP(A159,'表3（采购界面）'!A:J,10,0),"NA"))</f>
        <v/>
      </c>
      <c r="Q159" s="34" t="str">
        <f>IF(A159="","",IFERROR(VLOOKUP(A159,'表3（采购界面）'!A:Z,11,0),"NA"))</f>
        <v/>
      </c>
      <c r="R159" s="34" t="str">
        <f t="shared" si="36"/>
        <v/>
      </c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</row>
    <row r="160" spans="10:33" x14ac:dyDescent="0.2">
      <c r="J160" s="34"/>
      <c r="K160" s="34" t="str">
        <f t="shared" si="33"/>
        <v/>
      </c>
      <c r="L160" s="34" t="str">
        <f t="shared" si="31"/>
        <v/>
      </c>
      <c r="M160" s="34" t="str">
        <f t="shared" si="34"/>
        <v/>
      </c>
      <c r="N160" s="34" t="str">
        <f t="shared" si="35"/>
        <v/>
      </c>
      <c r="O160" s="34" t="str">
        <f t="shared" si="32"/>
        <v/>
      </c>
      <c r="P160" s="34" t="str">
        <f>IF(A160="","",IFERROR(VLOOKUP(A160,'表3（采购界面）'!A:J,10,0),"NA"))</f>
        <v/>
      </c>
      <c r="Q160" s="34" t="str">
        <f>IF(A160="","",IFERROR(VLOOKUP(A160,'表3（采购界面）'!A:Z,11,0),"NA"))</f>
        <v/>
      </c>
      <c r="R160" s="34" t="str">
        <f t="shared" si="36"/>
        <v/>
      </c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</row>
    <row r="161" spans="10:33" x14ac:dyDescent="0.2">
      <c r="J161" s="34"/>
      <c r="K161" s="34" t="str">
        <f t="shared" si="33"/>
        <v/>
      </c>
      <c r="L161" s="34" t="str">
        <f t="shared" si="31"/>
        <v/>
      </c>
      <c r="M161" s="34" t="str">
        <f t="shared" si="34"/>
        <v/>
      </c>
      <c r="N161" s="34" t="str">
        <f t="shared" si="35"/>
        <v/>
      </c>
      <c r="O161" s="34" t="str">
        <f t="shared" si="32"/>
        <v/>
      </c>
      <c r="P161" s="34" t="str">
        <f>IF(A161="","",IFERROR(VLOOKUP(A161,'表3（采购界面）'!A:J,10,0),"NA"))</f>
        <v/>
      </c>
      <c r="Q161" s="34" t="str">
        <f>IF(A161="","",IFERROR(VLOOKUP(A161,'表3（采购界面）'!A:Z,11,0),"NA"))</f>
        <v/>
      </c>
      <c r="R161" s="34" t="str">
        <f t="shared" si="36"/>
        <v/>
      </c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</row>
    <row r="162" spans="10:33" x14ac:dyDescent="0.2">
      <c r="J162" s="34"/>
      <c r="K162" s="34" t="str">
        <f t="shared" si="33"/>
        <v/>
      </c>
      <c r="L162" s="34" t="str">
        <f t="shared" si="31"/>
        <v/>
      </c>
      <c r="M162" s="34" t="str">
        <f t="shared" si="34"/>
        <v/>
      </c>
      <c r="N162" s="34" t="str">
        <f t="shared" si="35"/>
        <v/>
      </c>
      <c r="O162" s="34" t="str">
        <f t="shared" si="32"/>
        <v/>
      </c>
      <c r="P162" s="34" t="str">
        <f>IF(A162="","",IFERROR(VLOOKUP(A162,'表3（采购界面）'!A:J,10,0),"NA"))</f>
        <v/>
      </c>
      <c r="Q162" s="34" t="str">
        <f>IF(A162="","",IFERROR(VLOOKUP(A162,'表3（采购界面）'!A:Z,11,0),"NA"))</f>
        <v/>
      </c>
      <c r="R162" s="34" t="str">
        <f t="shared" si="36"/>
        <v/>
      </c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</row>
    <row r="163" spans="10:33" x14ac:dyDescent="0.2">
      <c r="J163" s="34"/>
      <c r="K163" s="34" t="str">
        <f t="shared" si="33"/>
        <v/>
      </c>
      <c r="L163" s="34" t="str">
        <f t="shared" si="31"/>
        <v/>
      </c>
      <c r="M163" s="34" t="str">
        <f t="shared" si="34"/>
        <v/>
      </c>
      <c r="N163" s="34" t="str">
        <f t="shared" si="35"/>
        <v/>
      </c>
      <c r="O163" s="34" t="str">
        <f t="shared" si="32"/>
        <v/>
      </c>
      <c r="P163" s="34" t="str">
        <f>IF(A163="","",IFERROR(VLOOKUP(A163,'表3（采购界面）'!A:J,10,0),"NA"))</f>
        <v/>
      </c>
      <c r="Q163" s="34" t="str">
        <f>IF(A163="","",IFERROR(VLOOKUP(A163,'表3（采购界面）'!A:Z,11,0),"NA"))</f>
        <v/>
      </c>
      <c r="R163" s="34" t="str">
        <f t="shared" si="36"/>
        <v/>
      </c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</row>
    <row r="164" spans="10:33" x14ac:dyDescent="0.2">
      <c r="J164" s="34"/>
      <c r="K164" s="34" t="str">
        <f t="shared" si="33"/>
        <v/>
      </c>
      <c r="L164" s="34" t="str">
        <f t="shared" si="31"/>
        <v/>
      </c>
      <c r="M164" s="34" t="str">
        <f t="shared" si="34"/>
        <v/>
      </c>
      <c r="N164" s="34" t="str">
        <f t="shared" si="35"/>
        <v/>
      </c>
      <c r="O164" s="34" t="str">
        <f t="shared" si="32"/>
        <v/>
      </c>
      <c r="P164" s="34" t="str">
        <f>IF(A164="","",IFERROR(VLOOKUP(A164,'表3（采购界面）'!A:J,10,0),"NA"))</f>
        <v/>
      </c>
      <c r="Q164" s="34" t="str">
        <f>IF(A164="","",IFERROR(VLOOKUP(A164,'表3（采购界面）'!A:Z,11,0),"NA"))</f>
        <v/>
      </c>
      <c r="R164" s="34" t="str">
        <f t="shared" si="36"/>
        <v/>
      </c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</row>
    <row r="165" spans="10:33" x14ac:dyDescent="0.2">
      <c r="J165" s="34"/>
      <c r="K165" s="34" t="str">
        <f t="shared" si="33"/>
        <v/>
      </c>
      <c r="L165" s="34" t="str">
        <f t="shared" si="31"/>
        <v/>
      </c>
      <c r="M165" s="34" t="str">
        <f t="shared" si="34"/>
        <v/>
      </c>
      <c r="N165" s="34" t="str">
        <f t="shared" si="35"/>
        <v/>
      </c>
      <c r="O165" s="34" t="str">
        <f t="shared" si="32"/>
        <v/>
      </c>
      <c r="P165" s="34" t="str">
        <f>IF(A165="","",IFERROR(VLOOKUP(A165,'表3（采购界面）'!A:J,10,0),"NA"))</f>
        <v/>
      </c>
      <c r="Q165" s="34" t="str">
        <f>IF(A165="","",IFERROR(VLOOKUP(A165,'表3（采购界面）'!A:Z,11,0),"NA"))</f>
        <v/>
      </c>
      <c r="R165" s="34" t="str">
        <f t="shared" si="36"/>
        <v/>
      </c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</row>
    <row r="166" spans="10:33" x14ac:dyDescent="0.2">
      <c r="J166" s="34"/>
      <c r="K166" s="34" t="str">
        <f t="shared" si="33"/>
        <v/>
      </c>
      <c r="L166" s="34" t="str">
        <f t="shared" si="31"/>
        <v/>
      </c>
      <c r="M166" s="34" t="str">
        <f t="shared" si="34"/>
        <v/>
      </c>
      <c r="N166" s="34" t="str">
        <f t="shared" si="35"/>
        <v/>
      </c>
      <c r="O166" s="34" t="str">
        <f t="shared" si="32"/>
        <v/>
      </c>
      <c r="P166" s="34" t="str">
        <f>IF(A166="","",IFERROR(VLOOKUP(A166,'表3（采购界面）'!A:J,10,0),"NA"))</f>
        <v/>
      </c>
      <c r="Q166" s="34" t="str">
        <f>IF(A166="","",IFERROR(VLOOKUP(A166,'表3（采购界面）'!A:Z,11,0),"NA"))</f>
        <v/>
      </c>
      <c r="R166" s="34" t="str">
        <f t="shared" si="36"/>
        <v/>
      </c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</row>
    <row r="167" spans="10:33" x14ac:dyDescent="0.2">
      <c r="J167" s="34"/>
      <c r="K167" s="34" t="str">
        <f t="shared" si="33"/>
        <v/>
      </c>
      <c r="L167" s="34" t="str">
        <f t="shared" si="31"/>
        <v/>
      </c>
      <c r="M167" s="34" t="str">
        <f t="shared" si="34"/>
        <v/>
      </c>
      <c r="N167" s="34" t="str">
        <f t="shared" si="35"/>
        <v/>
      </c>
      <c r="O167" s="34" t="str">
        <f t="shared" si="32"/>
        <v/>
      </c>
      <c r="P167" s="34" t="str">
        <f>IF(A167="","",IFERROR(VLOOKUP(A167,'表3（采购界面）'!A:J,10,0),"NA"))</f>
        <v/>
      </c>
      <c r="Q167" s="34" t="str">
        <f>IF(A167="","",IFERROR(VLOOKUP(A167,'表3（采购界面）'!A:Z,11,0),"NA"))</f>
        <v/>
      </c>
      <c r="R167" s="34" t="str">
        <f t="shared" si="36"/>
        <v/>
      </c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</row>
    <row r="168" spans="10:33" x14ac:dyDescent="0.2">
      <c r="J168" s="34"/>
      <c r="K168" s="34" t="str">
        <f t="shared" si="33"/>
        <v/>
      </c>
      <c r="L168" s="34" t="str">
        <f t="shared" si="31"/>
        <v/>
      </c>
      <c r="M168" s="34" t="str">
        <f t="shared" si="34"/>
        <v/>
      </c>
      <c r="N168" s="34" t="str">
        <f t="shared" si="35"/>
        <v/>
      </c>
      <c r="O168" s="34" t="str">
        <f t="shared" si="32"/>
        <v/>
      </c>
      <c r="P168" s="34" t="str">
        <f>IF(A168="","",IFERROR(VLOOKUP(A168,'表3（采购界面）'!A:J,10,0),"NA"))</f>
        <v/>
      </c>
      <c r="Q168" s="34" t="str">
        <f>IF(A168="","",IFERROR(VLOOKUP(A168,'表3（采购界面）'!A:Z,11,0),"NA"))</f>
        <v/>
      </c>
      <c r="R168" s="34" t="str">
        <f t="shared" si="36"/>
        <v/>
      </c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</row>
    <row r="169" spans="10:33" x14ac:dyDescent="0.2">
      <c r="J169" s="34"/>
      <c r="K169" s="34" t="str">
        <f t="shared" si="33"/>
        <v/>
      </c>
      <c r="L169" s="34" t="str">
        <f t="shared" si="31"/>
        <v/>
      </c>
      <c r="M169" s="34" t="str">
        <f t="shared" si="34"/>
        <v/>
      </c>
      <c r="N169" s="34" t="str">
        <f t="shared" si="35"/>
        <v/>
      </c>
      <c r="O169" s="34" t="str">
        <f t="shared" si="32"/>
        <v/>
      </c>
      <c r="P169" s="34" t="str">
        <f>IF(A169="","",IFERROR(VLOOKUP(A169,'表3（采购界面）'!A:J,10,0),"NA"))</f>
        <v/>
      </c>
      <c r="Q169" s="34" t="str">
        <f>IF(A169="","",IFERROR(VLOOKUP(A169,'表3（采购界面）'!A:Z,11,0),"NA"))</f>
        <v/>
      </c>
      <c r="R169" s="34" t="str">
        <f t="shared" si="36"/>
        <v/>
      </c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</row>
    <row r="170" spans="10:33" x14ac:dyDescent="0.2">
      <c r="J170" s="34"/>
      <c r="K170" s="34" t="str">
        <f t="shared" si="33"/>
        <v/>
      </c>
      <c r="L170" s="34" t="str">
        <f t="shared" si="31"/>
        <v/>
      </c>
      <c r="M170" s="34" t="str">
        <f t="shared" si="34"/>
        <v/>
      </c>
      <c r="N170" s="34" t="str">
        <f t="shared" si="35"/>
        <v/>
      </c>
      <c r="O170" s="34" t="str">
        <f t="shared" si="32"/>
        <v/>
      </c>
      <c r="P170" s="34" t="str">
        <f>IF(A170="","",IFERROR(VLOOKUP(A170,'表3（采购界面）'!A:J,10,0),"NA"))</f>
        <v/>
      </c>
      <c r="Q170" s="34" t="str">
        <f>IF(A170="","",IFERROR(VLOOKUP(A170,'表3（采购界面）'!A:Z,11,0),"NA"))</f>
        <v/>
      </c>
      <c r="R170" s="34" t="str">
        <f t="shared" si="36"/>
        <v/>
      </c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</row>
    <row r="171" spans="10:33" x14ac:dyDescent="0.2">
      <c r="J171" s="34"/>
      <c r="K171" s="34" t="str">
        <f t="shared" si="33"/>
        <v/>
      </c>
      <c r="L171" s="34" t="str">
        <f t="shared" si="31"/>
        <v/>
      </c>
      <c r="M171" s="34" t="str">
        <f t="shared" si="34"/>
        <v/>
      </c>
      <c r="N171" s="34" t="str">
        <f t="shared" si="35"/>
        <v/>
      </c>
      <c r="O171" s="34" t="str">
        <f t="shared" si="32"/>
        <v/>
      </c>
      <c r="P171" s="34" t="str">
        <f>IF(A171="","",IFERROR(VLOOKUP(A171,'表3（采购界面）'!A:J,10,0),"NA"))</f>
        <v/>
      </c>
      <c r="Q171" s="34" t="str">
        <f>IF(A171="","",IFERROR(VLOOKUP(A171,'表3（采购界面）'!A:Z,11,0),"NA"))</f>
        <v/>
      </c>
      <c r="R171" s="34" t="str">
        <f t="shared" si="36"/>
        <v/>
      </c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</row>
    <row r="172" spans="10:33" x14ac:dyDescent="0.2">
      <c r="J172" s="34"/>
      <c r="K172" s="34" t="str">
        <f t="shared" si="33"/>
        <v/>
      </c>
      <c r="L172" s="34" t="str">
        <f t="shared" si="31"/>
        <v/>
      </c>
      <c r="M172" s="34" t="str">
        <f t="shared" si="34"/>
        <v/>
      </c>
      <c r="N172" s="34" t="str">
        <f t="shared" si="35"/>
        <v/>
      </c>
      <c r="O172" s="34" t="str">
        <f t="shared" si="32"/>
        <v/>
      </c>
      <c r="P172" s="34" t="str">
        <f>IF(A172="","",IFERROR(VLOOKUP(A172,'表3（采购界面）'!A:J,10,0),"NA"))</f>
        <v/>
      </c>
      <c r="Q172" s="34" t="str">
        <f>IF(A172="","",IFERROR(VLOOKUP(A172,'表3（采购界面）'!A:Z,11,0),"NA"))</f>
        <v/>
      </c>
      <c r="R172" s="34" t="str">
        <f t="shared" si="36"/>
        <v/>
      </c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</row>
    <row r="173" spans="10:33" x14ac:dyDescent="0.2">
      <c r="J173" s="34"/>
      <c r="K173" s="34" t="str">
        <f t="shared" si="33"/>
        <v/>
      </c>
      <c r="L173" s="34" t="str">
        <f t="shared" si="31"/>
        <v/>
      </c>
      <c r="M173" s="34" t="str">
        <f t="shared" si="34"/>
        <v/>
      </c>
      <c r="N173" s="34" t="str">
        <f t="shared" si="35"/>
        <v/>
      </c>
      <c r="O173" s="34" t="str">
        <f t="shared" si="32"/>
        <v/>
      </c>
      <c r="P173" s="34" t="str">
        <f>IF(A173="","",IFERROR(VLOOKUP(A173,'表3（采购界面）'!A:J,10,0),"NA"))</f>
        <v/>
      </c>
      <c r="Q173" s="34" t="str">
        <f>IF(A173="","",IFERROR(VLOOKUP(A173,'表3（采购界面）'!A:Z,11,0),"NA"))</f>
        <v/>
      </c>
      <c r="R173" s="34" t="str">
        <f t="shared" si="36"/>
        <v/>
      </c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</row>
    <row r="174" spans="10:33" x14ac:dyDescent="0.2">
      <c r="J174" s="34"/>
      <c r="K174" s="34" t="str">
        <f t="shared" si="33"/>
        <v/>
      </c>
      <c r="L174" s="34" t="str">
        <f t="shared" si="31"/>
        <v/>
      </c>
      <c r="M174" s="34" t="str">
        <f t="shared" si="34"/>
        <v/>
      </c>
      <c r="N174" s="34" t="str">
        <f t="shared" si="35"/>
        <v/>
      </c>
      <c r="O174" s="34" t="str">
        <f t="shared" si="32"/>
        <v/>
      </c>
      <c r="P174" s="34" t="str">
        <f>IF(A174="","",IFERROR(VLOOKUP(A174,'表3（采购界面）'!A:J,10,0),"NA"))</f>
        <v/>
      </c>
      <c r="Q174" s="34" t="str">
        <f>IF(A174="","",IFERROR(VLOOKUP(A174,'表3（采购界面）'!A:Z,11,0),"NA"))</f>
        <v/>
      </c>
      <c r="R174" s="34" t="str">
        <f t="shared" si="36"/>
        <v/>
      </c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</row>
    <row r="175" spans="10:33" x14ac:dyDescent="0.2">
      <c r="J175" s="34"/>
      <c r="K175" s="34" t="str">
        <f t="shared" si="33"/>
        <v/>
      </c>
      <c r="L175" s="34" t="str">
        <f t="shared" si="31"/>
        <v/>
      </c>
      <c r="M175" s="34" t="str">
        <f t="shared" si="34"/>
        <v/>
      </c>
      <c r="N175" s="34" t="str">
        <f t="shared" si="35"/>
        <v/>
      </c>
      <c r="O175" s="34" t="str">
        <f t="shared" si="32"/>
        <v/>
      </c>
      <c r="P175" s="34" t="str">
        <f>IF(A175="","",IFERROR(VLOOKUP(A175,'表3（采购界面）'!A:J,10,0),"NA"))</f>
        <v/>
      </c>
      <c r="Q175" s="34" t="str">
        <f>IF(A175="","",IFERROR(VLOOKUP(A175,'表3（采购界面）'!A:Z,11,0),"NA"))</f>
        <v/>
      </c>
      <c r="R175" s="34" t="str">
        <f t="shared" si="36"/>
        <v/>
      </c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</row>
    <row r="176" spans="10:33" x14ac:dyDescent="0.2">
      <c r="J176" s="34"/>
      <c r="K176" s="34" t="str">
        <f t="shared" si="33"/>
        <v/>
      </c>
      <c r="L176" s="34" t="str">
        <f t="shared" si="31"/>
        <v/>
      </c>
      <c r="M176" s="34" t="str">
        <f t="shared" si="34"/>
        <v/>
      </c>
      <c r="N176" s="34" t="str">
        <f t="shared" si="35"/>
        <v/>
      </c>
      <c r="O176" s="34" t="str">
        <f t="shared" si="32"/>
        <v/>
      </c>
      <c r="P176" s="34" t="str">
        <f>IF(A176="","",IFERROR(VLOOKUP(A176,'表3（采购界面）'!A:J,10,0),"NA"))</f>
        <v/>
      </c>
      <c r="Q176" s="34" t="str">
        <f>IF(A176="","",IFERROR(VLOOKUP(A176,'表3（采购界面）'!A:Z,11,0),"NA"))</f>
        <v/>
      </c>
      <c r="R176" s="34" t="str">
        <f t="shared" si="36"/>
        <v/>
      </c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</row>
    <row r="177" spans="10:33" x14ac:dyDescent="0.2">
      <c r="J177" s="34"/>
      <c r="K177" s="34" t="str">
        <f t="shared" si="33"/>
        <v/>
      </c>
      <c r="L177" s="34" t="str">
        <f t="shared" si="31"/>
        <v/>
      </c>
      <c r="M177" s="34" t="str">
        <f t="shared" si="34"/>
        <v/>
      </c>
      <c r="N177" s="34" t="str">
        <f t="shared" si="35"/>
        <v/>
      </c>
      <c r="O177" s="34" t="str">
        <f t="shared" si="32"/>
        <v/>
      </c>
      <c r="P177" s="34" t="str">
        <f>IF(A177="","",IFERROR(VLOOKUP(A177,'表3（采购界面）'!A:J,10,0),"NA"))</f>
        <v/>
      </c>
      <c r="Q177" s="34" t="str">
        <f>IF(A177="","",IFERROR(VLOOKUP(A177,'表3（采购界面）'!A:Z,11,0),"NA"))</f>
        <v/>
      </c>
      <c r="R177" s="34" t="str">
        <f t="shared" si="36"/>
        <v/>
      </c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</row>
    <row r="178" spans="10:33" x14ac:dyDescent="0.2">
      <c r="J178" s="34"/>
      <c r="K178" s="34" t="str">
        <f t="shared" si="33"/>
        <v/>
      </c>
      <c r="L178" s="34" t="str">
        <f t="shared" si="31"/>
        <v/>
      </c>
      <c r="M178" s="34" t="str">
        <f t="shared" si="34"/>
        <v/>
      </c>
      <c r="N178" s="34" t="str">
        <f t="shared" si="35"/>
        <v/>
      </c>
      <c r="O178" s="34" t="str">
        <f t="shared" si="32"/>
        <v/>
      </c>
      <c r="P178" s="34" t="str">
        <f>IF(A178="","",IFERROR(VLOOKUP(A178,'表3（采购界面）'!A:J,10,0),"NA"))</f>
        <v/>
      </c>
      <c r="Q178" s="34" t="str">
        <f>IF(A178="","",IFERROR(VLOOKUP(A178,'表3（采购界面）'!A:Z,11,0),"NA"))</f>
        <v/>
      </c>
      <c r="R178" s="34" t="str">
        <f t="shared" si="36"/>
        <v/>
      </c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</row>
    <row r="179" spans="10:33" x14ac:dyDescent="0.2">
      <c r="J179" s="34"/>
      <c r="K179" s="34" t="str">
        <f t="shared" si="33"/>
        <v/>
      </c>
      <c r="L179" s="34" t="str">
        <f t="shared" si="31"/>
        <v/>
      </c>
      <c r="M179" s="34" t="str">
        <f t="shared" si="34"/>
        <v/>
      </c>
      <c r="N179" s="34" t="str">
        <f t="shared" si="35"/>
        <v/>
      </c>
      <c r="O179" s="34" t="str">
        <f t="shared" si="32"/>
        <v/>
      </c>
      <c r="P179" s="34" t="str">
        <f>IF(A179="","",IFERROR(VLOOKUP(A179,'表3（采购界面）'!A:J,10,0),"NA"))</f>
        <v/>
      </c>
      <c r="Q179" s="34" t="str">
        <f>IF(A179="","",IFERROR(VLOOKUP(A179,'表3（采购界面）'!A:Z,11,0),"NA"))</f>
        <v/>
      </c>
      <c r="R179" s="34" t="str">
        <f t="shared" si="36"/>
        <v/>
      </c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</row>
    <row r="180" spans="10:33" x14ac:dyDescent="0.2">
      <c r="J180" s="34"/>
      <c r="K180" s="34" t="str">
        <f t="shared" si="33"/>
        <v/>
      </c>
      <c r="L180" s="34" t="str">
        <f t="shared" si="31"/>
        <v/>
      </c>
      <c r="M180" s="34" t="str">
        <f t="shared" si="34"/>
        <v/>
      </c>
      <c r="N180" s="34" t="str">
        <f t="shared" si="35"/>
        <v/>
      </c>
      <c r="O180" s="34" t="str">
        <f t="shared" si="32"/>
        <v/>
      </c>
      <c r="P180" s="34" t="str">
        <f>IF(A180="","",IFERROR(VLOOKUP(A180,'表3（采购界面）'!A:J,10,0),"NA"))</f>
        <v/>
      </c>
      <c r="Q180" s="34" t="str">
        <f>IF(A180="","",IFERROR(VLOOKUP(A180,'表3（采购界面）'!A:Z,11,0),"NA"))</f>
        <v/>
      </c>
      <c r="R180" s="34" t="str">
        <f t="shared" si="36"/>
        <v/>
      </c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</row>
    <row r="181" spans="10:33" x14ac:dyDescent="0.2">
      <c r="J181" s="34"/>
      <c r="K181" s="34" t="str">
        <f t="shared" si="33"/>
        <v/>
      </c>
      <c r="L181" s="34" t="str">
        <f t="shared" si="31"/>
        <v/>
      </c>
      <c r="M181" s="34" t="str">
        <f t="shared" si="34"/>
        <v/>
      </c>
      <c r="N181" s="34" t="str">
        <f t="shared" si="35"/>
        <v/>
      </c>
      <c r="O181" s="34" t="str">
        <f t="shared" si="32"/>
        <v/>
      </c>
      <c r="P181" s="34" t="str">
        <f>IF(A181="","",IFERROR(VLOOKUP(A181,'表3（采购界面）'!A:J,10,0),"NA"))</f>
        <v/>
      </c>
      <c r="Q181" s="34" t="str">
        <f>IF(A181="","",IFERROR(VLOOKUP(A181,'表3（采购界面）'!A:Z,11,0),"NA"))</f>
        <v/>
      </c>
      <c r="R181" s="34" t="str">
        <f t="shared" si="36"/>
        <v/>
      </c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</row>
    <row r="182" spans="10:33" x14ac:dyDescent="0.2">
      <c r="J182" s="34"/>
      <c r="K182" s="34" t="str">
        <f t="shared" si="33"/>
        <v/>
      </c>
      <c r="L182" s="34" t="str">
        <f t="shared" si="31"/>
        <v/>
      </c>
      <c r="M182" s="34" t="str">
        <f t="shared" si="34"/>
        <v/>
      </c>
      <c r="N182" s="34" t="str">
        <f t="shared" si="35"/>
        <v/>
      </c>
      <c r="O182" s="34" t="str">
        <f t="shared" si="32"/>
        <v/>
      </c>
      <c r="P182" s="34" t="str">
        <f>IF(A182="","",IFERROR(VLOOKUP(A182,'表3（采购界面）'!A:J,10,0),"NA"))</f>
        <v/>
      </c>
      <c r="Q182" s="34" t="str">
        <f>IF(A182="","",IFERROR(VLOOKUP(A182,'表3（采购界面）'!A:Z,11,0),"NA"))</f>
        <v/>
      </c>
      <c r="R182" s="34" t="str">
        <f t="shared" si="36"/>
        <v/>
      </c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</row>
    <row r="183" spans="10:33" x14ac:dyDescent="0.2">
      <c r="J183" s="34"/>
      <c r="K183" s="34" t="str">
        <f t="shared" si="33"/>
        <v/>
      </c>
      <c r="L183" s="34" t="str">
        <f t="shared" si="31"/>
        <v/>
      </c>
      <c r="M183" s="34" t="str">
        <f t="shared" si="34"/>
        <v/>
      </c>
      <c r="N183" s="34" t="str">
        <f t="shared" si="35"/>
        <v/>
      </c>
      <c r="O183" s="34" t="str">
        <f t="shared" si="32"/>
        <v/>
      </c>
      <c r="P183" s="34" t="str">
        <f>IF(A183="","",IFERROR(VLOOKUP(A183,'表3（采购界面）'!A:J,10,0),"NA"))</f>
        <v/>
      </c>
      <c r="Q183" s="34" t="str">
        <f>IF(A183="","",IFERROR(VLOOKUP(A183,'表3（采购界面）'!A:Z,11,0),"NA"))</f>
        <v/>
      </c>
      <c r="R183" s="34" t="str">
        <f t="shared" si="36"/>
        <v/>
      </c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</row>
    <row r="184" spans="10:33" x14ac:dyDescent="0.2">
      <c r="J184" s="34"/>
      <c r="K184" s="34" t="str">
        <f t="shared" si="33"/>
        <v/>
      </c>
      <c r="L184" s="34" t="str">
        <f t="shared" si="31"/>
        <v/>
      </c>
      <c r="M184" s="34" t="str">
        <f t="shared" si="34"/>
        <v/>
      </c>
      <c r="N184" s="34" t="str">
        <f t="shared" si="35"/>
        <v/>
      </c>
      <c r="O184" s="34" t="str">
        <f t="shared" si="32"/>
        <v/>
      </c>
      <c r="P184" s="34" t="str">
        <f>IF(A184="","",IFERROR(VLOOKUP(A184,'表3（采购界面）'!A:J,10,0),"NA"))</f>
        <v/>
      </c>
      <c r="Q184" s="34" t="str">
        <f>IF(A184="","",IFERROR(VLOOKUP(A184,'表3（采购界面）'!A:Z,11,0),"NA"))</f>
        <v/>
      </c>
      <c r="R184" s="34" t="str">
        <f t="shared" si="36"/>
        <v/>
      </c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</row>
    <row r="185" spans="10:33" x14ac:dyDescent="0.2">
      <c r="J185" s="34"/>
      <c r="K185" s="34" t="str">
        <f t="shared" si="33"/>
        <v/>
      </c>
      <c r="L185" s="34" t="str">
        <f t="shared" si="31"/>
        <v/>
      </c>
      <c r="M185" s="34" t="str">
        <f t="shared" si="34"/>
        <v/>
      </c>
      <c r="N185" s="34" t="str">
        <f t="shared" si="35"/>
        <v/>
      </c>
      <c r="O185" s="34" t="str">
        <f t="shared" si="32"/>
        <v/>
      </c>
      <c r="P185" s="34" t="str">
        <f>IF(A185="","",IFERROR(VLOOKUP(A185,'表3（采购界面）'!A:J,10,0),"NA"))</f>
        <v/>
      </c>
      <c r="Q185" s="34" t="str">
        <f>IF(A185="","",IFERROR(VLOOKUP(A185,'表3（采购界面）'!A:Z,11,0),"NA"))</f>
        <v/>
      </c>
      <c r="R185" s="34" t="str">
        <f t="shared" si="36"/>
        <v/>
      </c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</row>
    <row r="186" spans="10:33" x14ac:dyDescent="0.2">
      <c r="J186" s="34"/>
      <c r="K186" s="34" t="str">
        <f t="shared" si="33"/>
        <v/>
      </c>
      <c r="L186" s="34" t="str">
        <f t="shared" si="31"/>
        <v/>
      </c>
      <c r="M186" s="34" t="str">
        <f t="shared" si="34"/>
        <v/>
      </c>
      <c r="N186" s="34" t="str">
        <f t="shared" si="35"/>
        <v/>
      </c>
      <c r="O186" s="34" t="str">
        <f t="shared" si="32"/>
        <v/>
      </c>
      <c r="P186" s="34" t="str">
        <f>IF(A186="","",IFERROR(VLOOKUP(A186,'表3（采购界面）'!A:J,10,0),"NA"))</f>
        <v/>
      </c>
      <c r="Q186" s="34" t="str">
        <f>IF(A186="","",IFERROR(VLOOKUP(A186,'表3（采购界面）'!A:Z,11,0),"NA"))</f>
        <v/>
      </c>
      <c r="R186" s="34" t="str">
        <f t="shared" si="36"/>
        <v/>
      </c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</row>
    <row r="187" spans="10:33" x14ac:dyDescent="0.2">
      <c r="J187" s="34"/>
      <c r="K187" s="34" t="str">
        <f t="shared" si="33"/>
        <v/>
      </c>
      <c r="L187" s="34" t="str">
        <f t="shared" si="31"/>
        <v/>
      </c>
      <c r="M187" s="34" t="str">
        <f t="shared" si="34"/>
        <v/>
      </c>
      <c r="N187" s="34" t="str">
        <f t="shared" si="35"/>
        <v/>
      </c>
      <c r="O187" s="34" t="str">
        <f t="shared" si="32"/>
        <v/>
      </c>
      <c r="P187" s="34" t="str">
        <f>IF(A187="","",IFERROR(VLOOKUP(A187,'表3（采购界面）'!A:J,10,0),"NA"))</f>
        <v/>
      </c>
      <c r="Q187" s="34" t="str">
        <f>IF(A187="","",IFERROR(VLOOKUP(A187,'表3（采购界面）'!A:Z,11,0),"NA"))</f>
        <v/>
      </c>
      <c r="R187" s="34" t="str">
        <f t="shared" si="36"/>
        <v/>
      </c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</row>
    <row r="188" spans="10:33" x14ac:dyDescent="0.2">
      <c r="J188" s="34"/>
      <c r="K188" s="34" t="str">
        <f t="shared" si="33"/>
        <v/>
      </c>
      <c r="L188" s="34" t="str">
        <f t="shared" si="31"/>
        <v/>
      </c>
      <c r="M188" s="34" t="str">
        <f t="shared" si="34"/>
        <v/>
      </c>
      <c r="N188" s="34" t="str">
        <f t="shared" si="35"/>
        <v/>
      </c>
      <c r="O188" s="34" t="str">
        <f t="shared" si="32"/>
        <v/>
      </c>
      <c r="P188" s="34" t="str">
        <f>IF(A188="","",IFERROR(VLOOKUP(A188,'表3（采购界面）'!A:J,10,0),"NA"))</f>
        <v/>
      </c>
      <c r="Q188" s="34" t="str">
        <f>IF(A188="","",IFERROR(VLOOKUP(A188,'表3（采购界面）'!A:Z,11,0),"NA"))</f>
        <v/>
      </c>
      <c r="R188" s="34" t="str">
        <f t="shared" si="36"/>
        <v/>
      </c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</row>
    <row r="189" spans="10:33" x14ac:dyDescent="0.2">
      <c r="J189" s="34"/>
      <c r="K189" s="34" t="str">
        <f t="shared" si="33"/>
        <v/>
      </c>
      <c r="L189" s="34" t="str">
        <f t="shared" si="31"/>
        <v/>
      </c>
      <c r="M189" s="34" t="str">
        <f t="shared" si="34"/>
        <v/>
      </c>
      <c r="N189" s="34" t="str">
        <f t="shared" si="35"/>
        <v/>
      </c>
      <c r="O189" s="34" t="str">
        <f t="shared" si="32"/>
        <v/>
      </c>
      <c r="P189" s="34" t="str">
        <f>IF(A189="","",IFERROR(VLOOKUP(A189,'表3（采购界面）'!A:J,10,0),"NA"))</f>
        <v/>
      </c>
      <c r="Q189" s="34" t="str">
        <f>IF(A189="","",IFERROR(VLOOKUP(A189,'表3（采购界面）'!A:Z,11,0),"NA"))</f>
        <v/>
      </c>
      <c r="R189" s="34" t="str">
        <f t="shared" si="36"/>
        <v/>
      </c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</row>
    <row r="190" spans="10:33" x14ac:dyDescent="0.2">
      <c r="J190" s="34"/>
      <c r="K190" s="34" t="str">
        <f t="shared" si="33"/>
        <v/>
      </c>
      <c r="L190" s="34" t="str">
        <f t="shared" si="31"/>
        <v/>
      </c>
      <c r="M190" s="34" t="str">
        <f t="shared" si="34"/>
        <v/>
      </c>
      <c r="N190" s="34" t="str">
        <f t="shared" si="35"/>
        <v/>
      </c>
      <c r="O190" s="34" t="str">
        <f t="shared" si="32"/>
        <v/>
      </c>
      <c r="P190" s="34" t="str">
        <f>IF(A190="","",IFERROR(VLOOKUP(A190,'表3（采购界面）'!A:J,10,0),"NA"))</f>
        <v/>
      </c>
      <c r="Q190" s="34" t="str">
        <f>IF(A190="","",IFERROR(VLOOKUP(A190,'表3（采购界面）'!A:Z,11,0),"NA"))</f>
        <v/>
      </c>
      <c r="R190" s="34" t="str">
        <f t="shared" si="36"/>
        <v/>
      </c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</row>
    <row r="191" spans="10:33" x14ac:dyDescent="0.2">
      <c r="J191" s="34"/>
      <c r="K191" s="34" t="str">
        <f t="shared" si="33"/>
        <v/>
      </c>
      <c r="L191" s="34" t="str">
        <f t="shared" si="31"/>
        <v/>
      </c>
      <c r="M191" s="34" t="str">
        <f t="shared" si="34"/>
        <v/>
      </c>
      <c r="N191" s="34" t="str">
        <f t="shared" si="35"/>
        <v/>
      </c>
      <c r="O191" s="34" t="str">
        <f t="shared" si="32"/>
        <v/>
      </c>
      <c r="P191" s="34" t="str">
        <f>IF(A191="","",IFERROR(VLOOKUP(A191,'表3（采购界面）'!A:J,10,0),"NA"))</f>
        <v/>
      </c>
      <c r="Q191" s="34" t="str">
        <f>IF(A191="","",IFERROR(VLOOKUP(A191,'表3（采购界面）'!A:Z,11,0),"NA"))</f>
        <v/>
      </c>
      <c r="R191" s="34" t="str">
        <f t="shared" si="36"/>
        <v/>
      </c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</row>
    <row r="192" spans="10:33" x14ac:dyDescent="0.2">
      <c r="J192" s="34"/>
      <c r="K192" s="34" t="str">
        <f t="shared" si="33"/>
        <v/>
      </c>
      <c r="L192" s="34" t="str">
        <f t="shared" si="31"/>
        <v/>
      </c>
      <c r="M192" s="34" t="str">
        <f t="shared" si="34"/>
        <v/>
      </c>
      <c r="N192" s="34" t="str">
        <f t="shared" si="35"/>
        <v/>
      </c>
      <c r="O192" s="34" t="str">
        <f t="shared" si="32"/>
        <v/>
      </c>
      <c r="P192" s="34" t="str">
        <f>IF(A192="","",IFERROR(VLOOKUP(A192,'表3（采购界面）'!A:J,10,0),"NA"))</f>
        <v/>
      </c>
      <c r="Q192" s="34" t="str">
        <f>IF(A192="","",IFERROR(VLOOKUP(A192,'表3（采购界面）'!A:Z,11,0),"NA"))</f>
        <v/>
      </c>
      <c r="R192" s="34" t="str">
        <f t="shared" si="36"/>
        <v/>
      </c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</row>
    <row r="193" spans="10:33" x14ac:dyDescent="0.2">
      <c r="J193" s="34"/>
      <c r="K193" s="34" t="str">
        <f t="shared" si="33"/>
        <v/>
      </c>
      <c r="L193" s="34" t="str">
        <f t="shared" si="31"/>
        <v/>
      </c>
      <c r="M193" s="34" t="str">
        <f t="shared" si="34"/>
        <v/>
      </c>
      <c r="N193" s="34" t="str">
        <f t="shared" si="35"/>
        <v/>
      </c>
      <c r="O193" s="34" t="str">
        <f t="shared" si="32"/>
        <v/>
      </c>
      <c r="P193" s="34" t="str">
        <f>IF(A193="","",IFERROR(VLOOKUP(A193,'表3（采购界面）'!A:J,10,0),"NA"))</f>
        <v/>
      </c>
      <c r="Q193" s="34" t="str">
        <f>IF(A193="","",IFERROR(VLOOKUP(A193,'表3（采购界面）'!A:Z,11,0),"NA"))</f>
        <v/>
      </c>
      <c r="R193" s="34" t="str">
        <f t="shared" si="36"/>
        <v/>
      </c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</row>
    <row r="194" spans="10:33" x14ac:dyDescent="0.2">
      <c r="J194" s="34"/>
      <c r="K194" s="34" t="str">
        <f t="shared" si="33"/>
        <v/>
      </c>
      <c r="L194" s="34" t="str">
        <f t="shared" si="31"/>
        <v/>
      </c>
      <c r="M194" s="34" t="str">
        <f t="shared" si="34"/>
        <v/>
      </c>
      <c r="N194" s="34" t="str">
        <f t="shared" si="35"/>
        <v/>
      </c>
      <c r="O194" s="34" t="str">
        <f t="shared" si="32"/>
        <v/>
      </c>
      <c r="P194" s="34" t="str">
        <f>IF(A194="","",IFERROR(VLOOKUP(A194,'表3（采购界面）'!A:J,10,0),"NA"))</f>
        <v/>
      </c>
      <c r="Q194" s="34" t="str">
        <f>IF(A194="","",IFERROR(VLOOKUP(A194,'表3（采购界面）'!A:Z,11,0),"NA"))</f>
        <v/>
      </c>
      <c r="R194" s="34" t="str">
        <f t="shared" si="36"/>
        <v/>
      </c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</row>
    <row r="195" spans="10:33" x14ac:dyDescent="0.2">
      <c r="J195" s="34"/>
      <c r="K195" s="34" t="str">
        <f t="shared" si="33"/>
        <v/>
      </c>
      <c r="L195" s="34" t="str">
        <f t="shared" si="31"/>
        <v/>
      </c>
      <c r="M195" s="34" t="str">
        <f t="shared" si="34"/>
        <v/>
      </c>
      <c r="N195" s="34" t="str">
        <f t="shared" si="35"/>
        <v/>
      </c>
      <c r="O195" s="34" t="str">
        <f t="shared" si="32"/>
        <v/>
      </c>
      <c r="P195" s="34" t="str">
        <f>IF(A195="","",IFERROR(VLOOKUP(A195,'表3（采购界面）'!A:J,10,0),"NA"))</f>
        <v/>
      </c>
      <c r="Q195" s="34" t="str">
        <f>IF(A195="","",IFERROR(VLOOKUP(A195,'表3（采购界面）'!A:Z,11,0),"NA"))</f>
        <v/>
      </c>
      <c r="R195" s="34" t="str">
        <f t="shared" si="36"/>
        <v/>
      </c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</row>
    <row r="196" spans="10:33" x14ac:dyDescent="0.2">
      <c r="J196" s="34"/>
      <c r="K196" s="34" t="str">
        <f t="shared" si="33"/>
        <v/>
      </c>
      <c r="L196" s="34" t="str">
        <f t="shared" si="31"/>
        <v/>
      </c>
      <c r="M196" s="34" t="str">
        <f t="shared" si="34"/>
        <v/>
      </c>
      <c r="N196" s="34" t="str">
        <f t="shared" si="35"/>
        <v/>
      </c>
      <c r="O196" s="34" t="str">
        <f t="shared" si="32"/>
        <v/>
      </c>
      <c r="P196" s="34" t="str">
        <f>IF(A196="","",IFERROR(VLOOKUP(A196,'表3（采购界面）'!A:J,10,0),"NA"))</f>
        <v/>
      </c>
      <c r="Q196" s="34" t="str">
        <f>IF(A196="","",IFERROR(VLOOKUP(A196,'表3（采购界面）'!A:Z,11,0),"NA"))</f>
        <v/>
      </c>
      <c r="R196" s="34" t="str">
        <f t="shared" si="36"/>
        <v/>
      </c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</row>
    <row r="197" spans="10:33" x14ac:dyDescent="0.2">
      <c r="J197" s="34"/>
      <c r="K197" s="34" t="str">
        <f t="shared" si="33"/>
        <v/>
      </c>
      <c r="L197" s="34" t="str">
        <f t="shared" ref="L197:L260" si="37">_xlfn.IFS(LEFT(A197)="1","MB",LEFT(A197)="2","WB",LEFT(A197)="3","WB",AND(LEFT(A197)="4",D197&lt;&gt;"中国",J197&lt;&gt;"Y01"),"FX",A197&lt;&gt;"","EX",A197="","")</f>
        <v/>
      </c>
      <c r="M197" s="34" t="str">
        <f t="shared" si="34"/>
        <v/>
      </c>
      <c r="N197" s="34" t="str">
        <f t="shared" si="35"/>
        <v/>
      </c>
      <c r="O197" s="34" t="str">
        <f t="shared" ref="O197:O260" si="38">IF(OR(LEFT(A197,1)="4",LEFT(A197,1)="5"),"NA","")</f>
        <v/>
      </c>
      <c r="P197" s="34" t="str">
        <f>IF(A197="","",IFERROR(VLOOKUP(A197,'表3（采购界面）'!A:J,10,0),"NA"))</f>
        <v/>
      </c>
      <c r="Q197" s="34" t="str">
        <f>IF(A197="","",IFERROR(VLOOKUP(A197,'表3（采购界面）'!A:Z,11,0),"NA"))</f>
        <v/>
      </c>
      <c r="R197" s="34" t="str">
        <f t="shared" si="36"/>
        <v/>
      </c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</row>
    <row r="198" spans="10:33" x14ac:dyDescent="0.2">
      <c r="J198" s="34"/>
      <c r="K198" s="34" t="str">
        <f t="shared" ref="K198:K261" si="39">_xlfn.IFS(AND(LEFT(A198,1)="4",D198="中国"),"ND",AND(LEFT(A198,1)="5",D198="中国"),"ND",AND(LEFT(A198,1)="5",D198&lt;&gt;"中国"),"M2",A198="","",A198&lt;&gt;"","PD")</f>
        <v/>
      </c>
      <c r="L198" s="34" t="str">
        <f t="shared" si="37"/>
        <v/>
      </c>
      <c r="M198" s="34" t="str">
        <f t="shared" ref="M198:M261" si="40">IF(OR(L198="FX",L198=""),"","NA")</f>
        <v/>
      </c>
      <c r="N198" s="34" t="str">
        <f t="shared" ref="N198:N261" si="41">IF(A198="","","NA")</f>
        <v/>
      </c>
      <c r="O198" s="34" t="str">
        <f t="shared" si="38"/>
        <v/>
      </c>
      <c r="P198" s="34" t="str">
        <f>IF(A198="","",IFERROR(VLOOKUP(A198,'表3（采购界面）'!A:J,10,0),"NA"))</f>
        <v/>
      </c>
      <c r="Q198" s="34" t="str">
        <f>IF(A198="","",IFERROR(VLOOKUP(A198,'表3（采购界面）'!A:Z,11,0),"NA"))</f>
        <v/>
      </c>
      <c r="R198" s="34" t="str">
        <f t="shared" ref="R198:R261" si="42">IF(A198="","",IF(OR(LEFT(A198,1)="1",LEFT(A198,1)="2",LEFT(A198,1)="3"),"F","E"))</f>
        <v/>
      </c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</row>
    <row r="199" spans="10:33" x14ac:dyDescent="0.2">
      <c r="J199" s="34"/>
      <c r="K199" s="34" t="str">
        <f t="shared" si="39"/>
        <v/>
      </c>
      <c r="L199" s="34" t="str">
        <f t="shared" si="37"/>
        <v/>
      </c>
      <c r="M199" s="34" t="str">
        <f t="shared" si="40"/>
        <v/>
      </c>
      <c r="N199" s="34" t="str">
        <f t="shared" si="41"/>
        <v/>
      </c>
      <c r="O199" s="34" t="str">
        <f t="shared" si="38"/>
        <v/>
      </c>
      <c r="P199" s="34" t="str">
        <f>IF(A199="","",IFERROR(VLOOKUP(A199,'表3（采购界面）'!A:J,10,0),"NA"))</f>
        <v/>
      </c>
      <c r="Q199" s="34" t="str">
        <f>IF(A199="","",IFERROR(VLOOKUP(A199,'表3（采购界面）'!A:Z,11,0),"NA"))</f>
        <v/>
      </c>
      <c r="R199" s="34" t="str">
        <f t="shared" si="42"/>
        <v/>
      </c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</row>
    <row r="200" spans="10:33" x14ac:dyDescent="0.2">
      <c r="J200" s="34"/>
      <c r="K200" s="34" t="str">
        <f t="shared" si="39"/>
        <v/>
      </c>
      <c r="L200" s="34" t="str">
        <f t="shared" si="37"/>
        <v/>
      </c>
      <c r="M200" s="34" t="str">
        <f t="shared" si="40"/>
        <v/>
      </c>
      <c r="N200" s="34" t="str">
        <f t="shared" si="41"/>
        <v/>
      </c>
      <c r="O200" s="34" t="str">
        <f t="shared" si="38"/>
        <v/>
      </c>
      <c r="P200" s="34" t="str">
        <f>IF(A200="","",IFERROR(VLOOKUP(A200,'表3（采购界面）'!A:J,10,0),"NA"))</f>
        <v/>
      </c>
      <c r="Q200" s="34" t="str">
        <f>IF(A200="","",IFERROR(VLOOKUP(A200,'表3（采购界面）'!A:Z,11,0),"NA"))</f>
        <v/>
      </c>
      <c r="R200" s="34" t="str">
        <f t="shared" si="42"/>
        <v/>
      </c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</row>
    <row r="201" spans="10:33" x14ac:dyDescent="0.2">
      <c r="J201" s="34"/>
      <c r="K201" s="34" t="str">
        <f t="shared" si="39"/>
        <v/>
      </c>
      <c r="L201" s="34" t="str">
        <f t="shared" si="37"/>
        <v/>
      </c>
      <c r="M201" s="34" t="str">
        <f t="shared" si="40"/>
        <v/>
      </c>
      <c r="N201" s="34" t="str">
        <f t="shared" si="41"/>
        <v/>
      </c>
      <c r="O201" s="34" t="str">
        <f t="shared" si="38"/>
        <v/>
      </c>
      <c r="P201" s="34" t="str">
        <f>IF(A201="","",IFERROR(VLOOKUP(A201,'表3（采购界面）'!A:J,10,0),"NA"))</f>
        <v/>
      </c>
      <c r="Q201" s="34" t="str">
        <f>IF(A201="","",IFERROR(VLOOKUP(A201,'表3（采购界面）'!A:Z,11,0),"NA"))</f>
        <v/>
      </c>
      <c r="R201" s="34" t="str">
        <f t="shared" si="42"/>
        <v/>
      </c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</row>
    <row r="202" spans="10:33" x14ac:dyDescent="0.2">
      <c r="J202" s="34"/>
      <c r="K202" s="34" t="str">
        <f t="shared" si="39"/>
        <v/>
      </c>
      <c r="L202" s="34" t="str">
        <f t="shared" si="37"/>
        <v/>
      </c>
      <c r="M202" s="34" t="str">
        <f t="shared" si="40"/>
        <v/>
      </c>
      <c r="N202" s="34" t="str">
        <f t="shared" si="41"/>
        <v/>
      </c>
      <c r="O202" s="34" t="str">
        <f t="shared" si="38"/>
        <v/>
      </c>
      <c r="P202" s="34" t="str">
        <f>IF(A202="","",IFERROR(VLOOKUP(A202,'表3（采购界面）'!A:J,10,0),"NA"))</f>
        <v/>
      </c>
      <c r="Q202" s="34" t="str">
        <f>IF(A202="","",IFERROR(VLOOKUP(A202,'表3（采购界面）'!A:Z,11,0),"NA"))</f>
        <v/>
      </c>
      <c r="R202" s="34" t="str">
        <f t="shared" si="42"/>
        <v/>
      </c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</row>
    <row r="203" spans="10:33" x14ac:dyDescent="0.2">
      <c r="J203" s="34"/>
      <c r="K203" s="34" t="str">
        <f t="shared" si="39"/>
        <v/>
      </c>
      <c r="L203" s="34" t="str">
        <f t="shared" si="37"/>
        <v/>
      </c>
      <c r="M203" s="34" t="str">
        <f t="shared" si="40"/>
        <v/>
      </c>
      <c r="N203" s="34" t="str">
        <f t="shared" si="41"/>
        <v/>
      </c>
      <c r="O203" s="34" t="str">
        <f t="shared" si="38"/>
        <v/>
      </c>
      <c r="P203" s="34" t="str">
        <f>IF(A203="","",IFERROR(VLOOKUP(A203,'表3（采购界面）'!A:J,10,0),"NA"))</f>
        <v/>
      </c>
      <c r="Q203" s="34" t="str">
        <f>IF(A203="","",IFERROR(VLOOKUP(A203,'表3（采购界面）'!A:Z,11,0),"NA"))</f>
        <v/>
      </c>
      <c r="R203" s="34" t="str">
        <f t="shared" si="42"/>
        <v/>
      </c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</row>
    <row r="204" spans="10:33" x14ac:dyDescent="0.2">
      <c r="J204" s="34"/>
      <c r="K204" s="34" t="str">
        <f t="shared" si="39"/>
        <v/>
      </c>
      <c r="L204" s="34" t="str">
        <f t="shared" si="37"/>
        <v/>
      </c>
      <c r="M204" s="34" t="str">
        <f t="shared" si="40"/>
        <v/>
      </c>
      <c r="N204" s="34" t="str">
        <f t="shared" si="41"/>
        <v/>
      </c>
      <c r="O204" s="34" t="str">
        <f t="shared" si="38"/>
        <v/>
      </c>
      <c r="P204" s="34" t="str">
        <f>IF(A204="","",IFERROR(VLOOKUP(A204,'表3（采购界面）'!A:J,10,0),"NA"))</f>
        <v/>
      </c>
      <c r="Q204" s="34" t="str">
        <f>IF(A204="","",IFERROR(VLOOKUP(A204,'表3（采购界面）'!A:Z,11,0),"NA"))</f>
        <v/>
      </c>
      <c r="R204" s="34" t="str">
        <f t="shared" si="42"/>
        <v/>
      </c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</row>
    <row r="205" spans="10:33" x14ac:dyDescent="0.2">
      <c r="J205" s="34"/>
      <c r="K205" s="34" t="str">
        <f t="shared" si="39"/>
        <v/>
      </c>
      <c r="L205" s="34" t="str">
        <f t="shared" si="37"/>
        <v/>
      </c>
      <c r="M205" s="34" t="str">
        <f t="shared" si="40"/>
        <v/>
      </c>
      <c r="N205" s="34" t="str">
        <f t="shared" si="41"/>
        <v/>
      </c>
      <c r="O205" s="34" t="str">
        <f t="shared" si="38"/>
        <v/>
      </c>
      <c r="P205" s="34" t="str">
        <f>IF(A205="","",IFERROR(VLOOKUP(A205,'表3（采购界面）'!A:J,10,0),"NA"))</f>
        <v/>
      </c>
      <c r="Q205" s="34" t="str">
        <f>IF(A205="","",IFERROR(VLOOKUP(A205,'表3（采购界面）'!A:Z,11,0),"NA"))</f>
        <v/>
      </c>
      <c r="R205" s="34" t="str">
        <f t="shared" si="42"/>
        <v/>
      </c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</row>
    <row r="206" spans="10:33" x14ac:dyDescent="0.2">
      <c r="J206" s="34"/>
      <c r="K206" s="34" t="str">
        <f t="shared" si="39"/>
        <v/>
      </c>
      <c r="L206" s="34" t="str">
        <f t="shared" si="37"/>
        <v/>
      </c>
      <c r="M206" s="34" t="str">
        <f t="shared" si="40"/>
        <v/>
      </c>
      <c r="N206" s="34" t="str">
        <f t="shared" si="41"/>
        <v/>
      </c>
      <c r="O206" s="34" t="str">
        <f t="shared" si="38"/>
        <v/>
      </c>
      <c r="P206" s="34" t="str">
        <f>IF(A206="","",IFERROR(VLOOKUP(A206,'表3（采购界面）'!A:J,10,0),"NA"))</f>
        <v/>
      </c>
      <c r="Q206" s="34" t="str">
        <f>IF(A206="","",IFERROR(VLOOKUP(A206,'表3（采购界面）'!A:Z,11,0),"NA"))</f>
        <v/>
      </c>
      <c r="R206" s="34" t="str">
        <f t="shared" si="42"/>
        <v/>
      </c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</row>
    <row r="207" spans="10:33" x14ac:dyDescent="0.2">
      <c r="J207" s="34"/>
      <c r="K207" s="34" t="str">
        <f t="shared" si="39"/>
        <v/>
      </c>
      <c r="L207" s="34" t="str">
        <f t="shared" si="37"/>
        <v/>
      </c>
      <c r="M207" s="34" t="str">
        <f t="shared" si="40"/>
        <v/>
      </c>
      <c r="N207" s="34" t="str">
        <f t="shared" si="41"/>
        <v/>
      </c>
      <c r="O207" s="34" t="str">
        <f t="shared" si="38"/>
        <v/>
      </c>
      <c r="P207" s="34" t="str">
        <f>IF(A207="","",IFERROR(VLOOKUP(A207,'表3（采购界面）'!A:J,10,0),"NA"))</f>
        <v/>
      </c>
      <c r="Q207" s="34" t="str">
        <f>IF(A207="","",IFERROR(VLOOKUP(A207,'表3（采购界面）'!A:Z,11,0),"NA"))</f>
        <v/>
      </c>
      <c r="R207" s="34" t="str">
        <f t="shared" si="42"/>
        <v/>
      </c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</row>
    <row r="208" spans="10:33" x14ac:dyDescent="0.2">
      <c r="J208" s="34"/>
      <c r="K208" s="34" t="str">
        <f t="shared" si="39"/>
        <v/>
      </c>
      <c r="L208" s="34" t="str">
        <f t="shared" si="37"/>
        <v/>
      </c>
      <c r="M208" s="34" t="str">
        <f t="shared" si="40"/>
        <v/>
      </c>
      <c r="N208" s="34" t="str">
        <f t="shared" si="41"/>
        <v/>
      </c>
      <c r="O208" s="34" t="str">
        <f t="shared" si="38"/>
        <v/>
      </c>
      <c r="P208" s="34" t="str">
        <f>IF(A208="","",IFERROR(VLOOKUP(A208,'表3（采购界面）'!A:J,10,0),"NA"))</f>
        <v/>
      </c>
      <c r="Q208" s="34" t="str">
        <f>IF(A208="","",IFERROR(VLOOKUP(A208,'表3（采购界面）'!A:Z,11,0),"NA"))</f>
        <v/>
      </c>
      <c r="R208" s="34" t="str">
        <f t="shared" si="42"/>
        <v/>
      </c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</row>
    <row r="209" spans="10:33" x14ac:dyDescent="0.2">
      <c r="J209" s="34"/>
      <c r="K209" s="34" t="str">
        <f t="shared" si="39"/>
        <v/>
      </c>
      <c r="L209" s="34" t="str">
        <f t="shared" si="37"/>
        <v/>
      </c>
      <c r="M209" s="34" t="str">
        <f t="shared" si="40"/>
        <v/>
      </c>
      <c r="N209" s="34" t="str">
        <f t="shared" si="41"/>
        <v/>
      </c>
      <c r="O209" s="34" t="str">
        <f t="shared" si="38"/>
        <v/>
      </c>
      <c r="P209" s="34" t="str">
        <f>IF(A209="","",IFERROR(VLOOKUP(A209,'表3（采购界面）'!A:J,10,0),"NA"))</f>
        <v/>
      </c>
      <c r="Q209" s="34" t="str">
        <f>IF(A209="","",IFERROR(VLOOKUP(A209,'表3（采购界面）'!A:Z,11,0),"NA"))</f>
        <v/>
      </c>
      <c r="R209" s="34" t="str">
        <f t="shared" si="42"/>
        <v/>
      </c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</row>
    <row r="210" spans="10:33" x14ac:dyDescent="0.2">
      <c r="J210" s="34"/>
      <c r="K210" s="34" t="str">
        <f t="shared" si="39"/>
        <v/>
      </c>
      <c r="L210" s="34" t="str">
        <f t="shared" si="37"/>
        <v/>
      </c>
      <c r="M210" s="34" t="str">
        <f t="shared" si="40"/>
        <v/>
      </c>
      <c r="N210" s="34" t="str">
        <f t="shared" si="41"/>
        <v/>
      </c>
      <c r="O210" s="34" t="str">
        <f t="shared" si="38"/>
        <v/>
      </c>
      <c r="P210" s="34" t="str">
        <f>IF(A210="","",IFERROR(VLOOKUP(A210,'表3（采购界面）'!A:J,10,0),"NA"))</f>
        <v/>
      </c>
      <c r="Q210" s="34" t="str">
        <f>IF(A210="","",IFERROR(VLOOKUP(A210,'表3（采购界面）'!A:Z,11,0),"NA"))</f>
        <v/>
      </c>
      <c r="R210" s="34" t="str">
        <f t="shared" si="42"/>
        <v/>
      </c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</row>
    <row r="211" spans="10:33" x14ac:dyDescent="0.2">
      <c r="J211" s="34"/>
      <c r="K211" s="34" t="str">
        <f t="shared" si="39"/>
        <v/>
      </c>
      <c r="L211" s="34" t="str">
        <f t="shared" si="37"/>
        <v/>
      </c>
      <c r="M211" s="34" t="str">
        <f t="shared" si="40"/>
        <v/>
      </c>
      <c r="N211" s="34" t="str">
        <f t="shared" si="41"/>
        <v/>
      </c>
      <c r="O211" s="34" t="str">
        <f t="shared" si="38"/>
        <v/>
      </c>
      <c r="P211" s="34" t="str">
        <f>IF(A211="","",IFERROR(VLOOKUP(A211,'表3（采购界面）'!A:J,10,0),"NA"))</f>
        <v/>
      </c>
      <c r="Q211" s="34" t="str">
        <f>IF(A211="","",IFERROR(VLOOKUP(A211,'表3（采购界面）'!A:Z,11,0),"NA"))</f>
        <v/>
      </c>
      <c r="R211" s="34" t="str">
        <f t="shared" si="42"/>
        <v/>
      </c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</row>
    <row r="212" spans="10:33" x14ac:dyDescent="0.2">
      <c r="J212" s="34"/>
      <c r="K212" s="34" t="str">
        <f t="shared" si="39"/>
        <v/>
      </c>
      <c r="L212" s="34" t="str">
        <f t="shared" si="37"/>
        <v/>
      </c>
      <c r="M212" s="34" t="str">
        <f t="shared" si="40"/>
        <v/>
      </c>
      <c r="N212" s="34" t="str">
        <f t="shared" si="41"/>
        <v/>
      </c>
      <c r="O212" s="34" t="str">
        <f t="shared" si="38"/>
        <v/>
      </c>
      <c r="P212" s="34" t="str">
        <f>IF(A212="","",IFERROR(VLOOKUP(A212,'表3（采购界面）'!A:J,10,0),"NA"))</f>
        <v/>
      </c>
      <c r="Q212" s="34" t="str">
        <f>IF(A212="","",IFERROR(VLOOKUP(A212,'表3（采购界面）'!A:Z,11,0),"NA"))</f>
        <v/>
      </c>
      <c r="R212" s="34" t="str">
        <f t="shared" si="42"/>
        <v/>
      </c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</row>
    <row r="213" spans="10:33" x14ac:dyDescent="0.2">
      <c r="J213" s="34"/>
      <c r="K213" s="34" t="str">
        <f t="shared" si="39"/>
        <v/>
      </c>
      <c r="L213" s="34" t="str">
        <f t="shared" si="37"/>
        <v/>
      </c>
      <c r="M213" s="34" t="str">
        <f t="shared" si="40"/>
        <v/>
      </c>
      <c r="N213" s="34" t="str">
        <f t="shared" si="41"/>
        <v/>
      </c>
      <c r="O213" s="34" t="str">
        <f t="shared" si="38"/>
        <v/>
      </c>
      <c r="P213" s="34" t="str">
        <f>IF(A213="","",IFERROR(VLOOKUP(A213,'表3（采购界面）'!A:J,10,0),"NA"))</f>
        <v/>
      </c>
      <c r="Q213" s="34" t="str">
        <f>IF(A213="","",IFERROR(VLOOKUP(A213,'表3（采购界面）'!A:Z,11,0),"NA"))</f>
        <v/>
      </c>
      <c r="R213" s="34" t="str">
        <f t="shared" si="42"/>
        <v/>
      </c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</row>
    <row r="214" spans="10:33" x14ac:dyDescent="0.2">
      <c r="J214" s="34"/>
      <c r="K214" s="34" t="str">
        <f t="shared" si="39"/>
        <v/>
      </c>
      <c r="L214" s="34" t="str">
        <f t="shared" si="37"/>
        <v/>
      </c>
      <c r="M214" s="34" t="str">
        <f t="shared" si="40"/>
        <v/>
      </c>
      <c r="N214" s="34" t="str">
        <f t="shared" si="41"/>
        <v/>
      </c>
      <c r="O214" s="34" t="str">
        <f t="shared" si="38"/>
        <v/>
      </c>
      <c r="P214" s="34" t="str">
        <f>IF(A214="","",IFERROR(VLOOKUP(A214,'表3（采购界面）'!A:J,10,0),"NA"))</f>
        <v/>
      </c>
      <c r="Q214" s="34" t="str">
        <f>IF(A214="","",IFERROR(VLOOKUP(A214,'表3（采购界面）'!A:Z,11,0),"NA"))</f>
        <v/>
      </c>
      <c r="R214" s="34" t="str">
        <f t="shared" si="42"/>
        <v/>
      </c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</row>
    <row r="215" spans="10:33" x14ac:dyDescent="0.2">
      <c r="J215" s="34"/>
      <c r="K215" s="34" t="str">
        <f t="shared" si="39"/>
        <v/>
      </c>
      <c r="L215" s="34" t="str">
        <f t="shared" si="37"/>
        <v/>
      </c>
      <c r="M215" s="34" t="str">
        <f t="shared" si="40"/>
        <v/>
      </c>
      <c r="N215" s="34" t="str">
        <f t="shared" si="41"/>
        <v/>
      </c>
      <c r="O215" s="34" t="str">
        <f t="shared" si="38"/>
        <v/>
      </c>
      <c r="P215" s="34" t="str">
        <f>IF(A215="","",IFERROR(VLOOKUP(A215,'表3（采购界面）'!A:J,10,0),"NA"))</f>
        <v/>
      </c>
      <c r="Q215" s="34" t="str">
        <f>IF(A215="","",IFERROR(VLOOKUP(A215,'表3（采购界面）'!A:Z,11,0),"NA"))</f>
        <v/>
      </c>
      <c r="R215" s="34" t="str">
        <f t="shared" si="42"/>
        <v/>
      </c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</row>
    <row r="216" spans="10:33" x14ac:dyDescent="0.2">
      <c r="J216" s="34"/>
      <c r="K216" s="34" t="str">
        <f t="shared" si="39"/>
        <v/>
      </c>
      <c r="L216" s="34" t="str">
        <f t="shared" si="37"/>
        <v/>
      </c>
      <c r="M216" s="34" t="str">
        <f t="shared" si="40"/>
        <v/>
      </c>
      <c r="N216" s="34" t="str">
        <f t="shared" si="41"/>
        <v/>
      </c>
      <c r="O216" s="34" t="str">
        <f t="shared" si="38"/>
        <v/>
      </c>
      <c r="P216" s="34" t="str">
        <f>IF(A216="","",IFERROR(VLOOKUP(A216,'表3（采购界面）'!A:J,10,0),"NA"))</f>
        <v/>
      </c>
      <c r="Q216" s="34" t="str">
        <f>IF(A216="","",IFERROR(VLOOKUP(A216,'表3（采购界面）'!A:Z,11,0),"NA"))</f>
        <v/>
      </c>
      <c r="R216" s="34" t="str">
        <f t="shared" si="42"/>
        <v/>
      </c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</row>
    <row r="217" spans="10:33" x14ac:dyDescent="0.2">
      <c r="J217" s="34"/>
      <c r="K217" s="34" t="str">
        <f t="shared" si="39"/>
        <v/>
      </c>
      <c r="L217" s="34" t="str">
        <f t="shared" si="37"/>
        <v/>
      </c>
      <c r="M217" s="34" t="str">
        <f t="shared" si="40"/>
        <v/>
      </c>
      <c r="N217" s="34" t="str">
        <f t="shared" si="41"/>
        <v/>
      </c>
      <c r="O217" s="34" t="str">
        <f t="shared" si="38"/>
        <v/>
      </c>
      <c r="P217" s="34" t="str">
        <f>IF(A217="","",IFERROR(VLOOKUP(A217,'表3（采购界面）'!A:J,10,0),"NA"))</f>
        <v/>
      </c>
      <c r="Q217" s="34" t="str">
        <f>IF(A217="","",IFERROR(VLOOKUP(A217,'表3（采购界面）'!A:Z,11,0),"NA"))</f>
        <v/>
      </c>
      <c r="R217" s="34" t="str">
        <f t="shared" si="42"/>
        <v/>
      </c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</row>
    <row r="218" spans="10:33" x14ac:dyDescent="0.2">
      <c r="J218" s="34"/>
      <c r="K218" s="34" t="str">
        <f t="shared" si="39"/>
        <v/>
      </c>
      <c r="L218" s="34" t="str">
        <f t="shared" si="37"/>
        <v/>
      </c>
      <c r="M218" s="34" t="str">
        <f t="shared" si="40"/>
        <v/>
      </c>
      <c r="N218" s="34" t="str">
        <f t="shared" si="41"/>
        <v/>
      </c>
      <c r="O218" s="34" t="str">
        <f t="shared" si="38"/>
        <v/>
      </c>
      <c r="P218" s="34" t="str">
        <f>IF(A218="","",IFERROR(VLOOKUP(A218,'表3（采购界面）'!A:J,10,0),"NA"))</f>
        <v/>
      </c>
      <c r="Q218" s="34" t="str">
        <f>IF(A218="","",IFERROR(VLOOKUP(A218,'表3（采购界面）'!A:Z,11,0),"NA"))</f>
        <v/>
      </c>
      <c r="R218" s="34" t="str">
        <f t="shared" si="42"/>
        <v/>
      </c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</row>
    <row r="219" spans="10:33" x14ac:dyDescent="0.2">
      <c r="J219" s="34"/>
      <c r="K219" s="34" t="str">
        <f t="shared" si="39"/>
        <v/>
      </c>
      <c r="L219" s="34" t="str">
        <f t="shared" si="37"/>
        <v/>
      </c>
      <c r="M219" s="34" t="str">
        <f t="shared" si="40"/>
        <v/>
      </c>
      <c r="N219" s="34" t="str">
        <f t="shared" si="41"/>
        <v/>
      </c>
      <c r="O219" s="34" t="str">
        <f t="shared" si="38"/>
        <v/>
      </c>
      <c r="P219" s="34" t="str">
        <f>IF(A219="","",IFERROR(VLOOKUP(A219,'表3（采购界面）'!A:J,10,0),"NA"))</f>
        <v/>
      </c>
      <c r="Q219" s="34" t="str">
        <f>IF(A219="","",IFERROR(VLOOKUP(A219,'表3（采购界面）'!A:Z,11,0),"NA"))</f>
        <v/>
      </c>
      <c r="R219" s="34" t="str">
        <f t="shared" si="42"/>
        <v/>
      </c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</row>
    <row r="220" spans="10:33" x14ac:dyDescent="0.2">
      <c r="J220" s="34"/>
      <c r="K220" s="34" t="str">
        <f t="shared" si="39"/>
        <v/>
      </c>
      <c r="L220" s="34" t="str">
        <f t="shared" si="37"/>
        <v/>
      </c>
      <c r="M220" s="34" t="str">
        <f t="shared" si="40"/>
        <v/>
      </c>
      <c r="N220" s="34" t="str">
        <f t="shared" si="41"/>
        <v/>
      </c>
      <c r="O220" s="34" t="str">
        <f t="shared" si="38"/>
        <v/>
      </c>
      <c r="P220" s="34" t="str">
        <f>IF(A220="","",IFERROR(VLOOKUP(A220,'表3（采购界面）'!A:J,10,0),"NA"))</f>
        <v/>
      </c>
      <c r="Q220" s="34" t="str">
        <f>IF(A220="","",IFERROR(VLOOKUP(A220,'表3（采购界面）'!A:Z,11,0),"NA"))</f>
        <v/>
      </c>
      <c r="R220" s="34" t="str">
        <f t="shared" si="42"/>
        <v/>
      </c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</row>
    <row r="221" spans="10:33" x14ac:dyDescent="0.2">
      <c r="J221" s="34"/>
      <c r="K221" s="34" t="str">
        <f t="shared" si="39"/>
        <v/>
      </c>
      <c r="L221" s="34" t="str">
        <f t="shared" si="37"/>
        <v/>
      </c>
      <c r="M221" s="34" t="str">
        <f t="shared" si="40"/>
        <v/>
      </c>
      <c r="N221" s="34" t="str">
        <f t="shared" si="41"/>
        <v/>
      </c>
      <c r="O221" s="34" t="str">
        <f t="shared" si="38"/>
        <v/>
      </c>
      <c r="P221" s="34" t="str">
        <f>IF(A221="","",IFERROR(VLOOKUP(A221,'表3（采购界面）'!A:J,10,0),"NA"))</f>
        <v/>
      </c>
      <c r="Q221" s="34" t="str">
        <f>IF(A221="","",IFERROR(VLOOKUP(A221,'表3（采购界面）'!A:Z,11,0),"NA"))</f>
        <v/>
      </c>
      <c r="R221" s="34" t="str">
        <f t="shared" si="42"/>
        <v/>
      </c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</row>
    <row r="222" spans="10:33" x14ac:dyDescent="0.2">
      <c r="J222" s="34"/>
      <c r="K222" s="34" t="str">
        <f t="shared" si="39"/>
        <v/>
      </c>
      <c r="L222" s="34" t="str">
        <f t="shared" si="37"/>
        <v/>
      </c>
      <c r="M222" s="34" t="str">
        <f t="shared" si="40"/>
        <v/>
      </c>
      <c r="N222" s="34" t="str">
        <f t="shared" si="41"/>
        <v/>
      </c>
      <c r="O222" s="34" t="str">
        <f t="shared" si="38"/>
        <v/>
      </c>
      <c r="P222" s="34" t="str">
        <f>IF(A222="","",IFERROR(VLOOKUP(A222,'表3（采购界面）'!A:J,10,0),"NA"))</f>
        <v/>
      </c>
      <c r="Q222" s="34" t="str">
        <f>IF(A222="","",IFERROR(VLOOKUP(A222,'表3（采购界面）'!A:Z,11,0),"NA"))</f>
        <v/>
      </c>
      <c r="R222" s="34" t="str">
        <f t="shared" si="42"/>
        <v/>
      </c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</row>
    <row r="223" spans="10:33" x14ac:dyDescent="0.2">
      <c r="J223" s="34"/>
      <c r="K223" s="34" t="str">
        <f t="shared" si="39"/>
        <v/>
      </c>
      <c r="L223" s="34" t="str">
        <f t="shared" si="37"/>
        <v/>
      </c>
      <c r="M223" s="34" t="str">
        <f t="shared" si="40"/>
        <v/>
      </c>
      <c r="N223" s="34" t="str">
        <f t="shared" si="41"/>
        <v/>
      </c>
      <c r="O223" s="34" t="str">
        <f t="shared" si="38"/>
        <v/>
      </c>
      <c r="P223" s="34" t="str">
        <f>IF(A223="","",IFERROR(VLOOKUP(A223,'表3（采购界面）'!A:J,10,0),"NA"))</f>
        <v/>
      </c>
      <c r="Q223" s="34" t="str">
        <f>IF(A223="","",IFERROR(VLOOKUP(A223,'表3（采购界面）'!A:Z,11,0),"NA"))</f>
        <v/>
      </c>
      <c r="R223" s="34" t="str">
        <f t="shared" si="42"/>
        <v/>
      </c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</row>
    <row r="224" spans="10:33" x14ac:dyDescent="0.2">
      <c r="J224" s="34"/>
      <c r="K224" s="34" t="str">
        <f t="shared" si="39"/>
        <v/>
      </c>
      <c r="L224" s="34" t="str">
        <f t="shared" si="37"/>
        <v/>
      </c>
      <c r="M224" s="34" t="str">
        <f t="shared" si="40"/>
        <v/>
      </c>
      <c r="N224" s="34" t="str">
        <f t="shared" si="41"/>
        <v/>
      </c>
      <c r="O224" s="34" t="str">
        <f t="shared" si="38"/>
        <v/>
      </c>
      <c r="P224" s="34" t="str">
        <f>IF(A224="","",IFERROR(VLOOKUP(A224,'表3（采购界面）'!A:J,10,0),"NA"))</f>
        <v/>
      </c>
      <c r="Q224" s="34" t="str">
        <f>IF(A224="","",IFERROR(VLOOKUP(A224,'表3（采购界面）'!A:Z,11,0),"NA"))</f>
        <v/>
      </c>
      <c r="R224" s="34" t="str">
        <f t="shared" si="42"/>
        <v/>
      </c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</row>
    <row r="225" spans="10:33" x14ac:dyDescent="0.2">
      <c r="J225" s="34"/>
      <c r="K225" s="34" t="str">
        <f t="shared" si="39"/>
        <v/>
      </c>
      <c r="L225" s="34" t="str">
        <f t="shared" si="37"/>
        <v/>
      </c>
      <c r="M225" s="34" t="str">
        <f t="shared" si="40"/>
        <v/>
      </c>
      <c r="N225" s="34" t="str">
        <f t="shared" si="41"/>
        <v/>
      </c>
      <c r="O225" s="34" t="str">
        <f t="shared" si="38"/>
        <v/>
      </c>
      <c r="P225" s="34" t="str">
        <f>IF(A225="","",IFERROR(VLOOKUP(A225,'表3（采购界面）'!A:J,10,0),"NA"))</f>
        <v/>
      </c>
      <c r="Q225" s="34" t="str">
        <f>IF(A225="","",IFERROR(VLOOKUP(A225,'表3（采购界面）'!A:Z,11,0),"NA"))</f>
        <v/>
      </c>
      <c r="R225" s="34" t="str">
        <f t="shared" si="42"/>
        <v/>
      </c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</row>
    <row r="226" spans="10:33" x14ac:dyDescent="0.2">
      <c r="J226" s="34"/>
      <c r="K226" s="34" t="str">
        <f t="shared" si="39"/>
        <v/>
      </c>
      <c r="L226" s="34" t="str">
        <f t="shared" si="37"/>
        <v/>
      </c>
      <c r="M226" s="34" t="str">
        <f t="shared" si="40"/>
        <v/>
      </c>
      <c r="N226" s="34" t="str">
        <f t="shared" si="41"/>
        <v/>
      </c>
      <c r="O226" s="34" t="str">
        <f t="shared" si="38"/>
        <v/>
      </c>
      <c r="P226" s="34" t="str">
        <f>IF(A226="","",IFERROR(VLOOKUP(A226,'表3（采购界面）'!A:J,10,0),"NA"))</f>
        <v/>
      </c>
      <c r="Q226" s="34" t="str">
        <f>IF(A226="","",IFERROR(VLOOKUP(A226,'表3（采购界面）'!A:Z,11,0),"NA"))</f>
        <v/>
      </c>
      <c r="R226" s="34" t="str">
        <f t="shared" si="42"/>
        <v/>
      </c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</row>
    <row r="227" spans="10:33" x14ac:dyDescent="0.2">
      <c r="J227" s="34"/>
      <c r="K227" s="34" t="str">
        <f t="shared" si="39"/>
        <v/>
      </c>
      <c r="L227" s="34" t="str">
        <f t="shared" si="37"/>
        <v/>
      </c>
      <c r="M227" s="34" t="str">
        <f t="shared" si="40"/>
        <v/>
      </c>
      <c r="N227" s="34" t="str">
        <f t="shared" si="41"/>
        <v/>
      </c>
      <c r="O227" s="34" t="str">
        <f t="shared" si="38"/>
        <v/>
      </c>
      <c r="P227" s="34" t="str">
        <f>IF(A227="","",IFERROR(VLOOKUP(A227,'表3（采购界面）'!A:J,10,0),"NA"))</f>
        <v/>
      </c>
      <c r="Q227" s="34" t="str">
        <f>IF(A227="","",IFERROR(VLOOKUP(A227,'表3（采购界面）'!A:Z,11,0),"NA"))</f>
        <v/>
      </c>
      <c r="R227" s="34" t="str">
        <f t="shared" si="42"/>
        <v/>
      </c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</row>
    <row r="228" spans="10:33" x14ac:dyDescent="0.2">
      <c r="J228" s="34"/>
      <c r="K228" s="34" t="str">
        <f t="shared" si="39"/>
        <v/>
      </c>
      <c r="L228" s="34" t="str">
        <f t="shared" si="37"/>
        <v/>
      </c>
      <c r="M228" s="34" t="str">
        <f t="shared" si="40"/>
        <v/>
      </c>
      <c r="N228" s="34" t="str">
        <f t="shared" si="41"/>
        <v/>
      </c>
      <c r="O228" s="34" t="str">
        <f t="shared" si="38"/>
        <v/>
      </c>
      <c r="P228" s="34" t="str">
        <f>IF(A228="","",IFERROR(VLOOKUP(A228,'表3（采购界面）'!A:J,10,0),"NA"))</f>
        <v/>
      </c>
      <c r="Q228" s="34" t="str">
        <f>IF(A228="","",IFERROR(VLOOKUP(A228,'表3（采购界面）'!A:Z,11,0),"NA"))</f>
        <v/>
      </c>
      <c r="R228" s="34" t="str">
        <f t="shared" si="42"/>
        <v/>
      </c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</row>
    <row r="229" spans="10:33" x14ac:dyDescent="0.2">
      <c r="J229" s="34"/>
      <c r="K229" s="34" t="str">
        <f t="shared" si="39"/>
        <v/>
      </c>
      <c r="L229" s="34" t="str">
        <f t="shared" si="37"/>
        <v/>
      </c>
      <c r="M229" s="34" t="str">
        <f t="shared" si="40"/>
        <v/>
      </c>
      <c r="N229" s="34" t="str">
        <f t="shared" si="41"/>
        <v/>
      </c>
      <c r="O229" s="34" t="str">
        <f t="shared" si="38"/>
        <v/>
      </c>
      <c r="P229" s="34" t="str">
        <f>IF(A229="","",IFERROR(VLOOKUP(A229,'表3（采购界面）'!A:J,10,0),"NA"))</f>
        <v/>
      </c>
      <c r="Q229" s="34" t="str">
        <f>IF(A229="","",IFERROR(VLOOKUP(A229,'表3（采购界面）'!A:Z,11,0),"NA"))</f>
        <v/>
      </c>
      <c r="R229" s="34" t="str">
        <f t="shared" si="42"/>
        <v/>
      </c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</row>
    <row r="230" spans="10:33" x14ac:dyDescent="0.2">
      <c r="J230" s="34"/>
      <c r="K230" s="34" t="str">
        <f t="shared" si="39"/>
        <v/>
      </c>
      <c r="L230" s="34" t="str">
        <f t="shared" si="37"/>
        <v/>
      </c>
      <c r="M230" s="34" t="str">
        <f t="shared" si="40"/>
        <v/>
      </c>
      <c r="N230" s="34" t="str">
        <f t="shared" si="41"/>
        <v/>
      </c>
      <c r="O230" s="34" t="str">
        <f t="shared" si="38"/>
        <v/>
      </c>
      <c r="P230" s="34" t="str">
        <f>IF(A230="","",IFERROR(VLOOKUP(A230,'表3（采购界面）'!A:J,10,0),"NA"))</f>
        <v/>
      </c>
      <c r="Q230" s="34" t="str">
        <f>IF(A230="","",IFERROR(VLOOKUP(A230,'表3（采购界面）'!A:Z,11,0),"NA"))</f>
        <v/>
      </c>
      <c r="R230" s="34" t="str">
        <f t="shared" si="42"/>
        <v/>
      </c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</row>
    <row r="231" spans="10:33" x14ac:dyDescent="0.2">
      <c r="J231" s="34"/>
      <c r="K231" s="34" t="str">
        <f t="shared" si="39"/>
        <v/>
      </c>
      <c r="L231" s="34" t="str">
        <f t="shared" si="37"/>
        <v/>
      </c>
      <c r="M231" s="34" t="str">
        <f t="shared" si="40"/>
        <v/>
      </c>
      <c r="N231" s="34" t="str">
        <f t="shared" si="41"/>
        <v/>
      </c>
      <c r="O231" s="34" t="str">
        <f t="shared" si="38"/>
        <v/>
      </c>
      <c r="P231" s="34" t="str">
        <f>IF(A231="","",IFERROR(VLOOKUP(A231,'表3（采购界面）'!A:J,10,0),"NA"))</f>
        <v/>
      </c>
      <c r="Q231" s="34" t="str">
        <f>IF(A231="","",IFERROR(VLOOKUP(A231,'表3（采购界面）'!A:Z,11,0),"NA"))</f>
        <v/>
      </c>
      <c r="R231" s="34" t="str">
        <f t="shared" si="42"/>
        <v/>
      </c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</row>
    <row r="232" spans="10:33" x14ac:dyDescent="0.2">
      <c r="J232" s="34"/>
      <c r="K232" s="34" t="str">
        <f t="shared" si="39"/>
        <v/>
      </c>
      <c r="L232" s="34" t="str">
        <f t="shared" si="37"/>
        <v/>
      </c>
      <c r="M232" s="34" t="str">
        <f t="shared" si="40"/>
        <v/>
      </c>
      <c r="N232" s="34" t="str">
        <f t="shared" si="41"/>
        <v/>
      </c>
      <c r="O232" s="34" t="str">
        <f t="shared" si="38"/>
        <v/>
      </c>
      <c r="P232" s="34" t="str">
        <f>IF(A232="","",IFERROR(VLOOKUP(A232,'表3（采购界面）'!A:J,10,0),"NA"))</f>
        <v/>
      </c>
      <c r="Q232" s="34" t="str">
        <f>IF(A232="","",IFERROR(VLOOKUP(A232,'表3（采购界面）'!A:Z,11,0),"NA"))</f>
        <v/>
      </c>
      <c r="R232" s="34" t="str">
        <f t="shared" si="42"/>
        <v/>
      </c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</row>
    <row r="233" spans="10:33" x14ac:dyDescent="0.2">
      <c r="J233" s="34"/>
      <c r="K233" s="34" t="str">
        <f t="shared" si="39"/>
        <v/>
      </c>
      <c r="L233" s="34" t="str">
        <f t="shared" si="37"/>
        <v/>
      </c>
      <c r="M233" s="34" t="str">
        <f t="shared" si="40"/>
        <v/>
      </c>
      <c r="N233" s="34" t="str">
        <f t="shared" si="41"/>
        <v/>
      </c>
      <c r="O233" s="34" t="str">
        <f t="shared" si="38"/>
        <v/>
      </c>
      <c r="P233" s="34" t="str">
        <f>IF(A233="","",IFERROR(VLOOKUP(A233,'表3（采购界面）'!A:J,10,0),"NA"))</f>
        <v/>
      </c>
      <c r="Q233" s="34" t="str">
        <f>IF(A233="","",IFERROR(VLOOKUP(A233,'表3（采购界面）'!A:Z,11,0),"NA"))</f>
        <v/>
      </c>
      <c r="R233" s="34" t="str">
        <f t="shared" si="42"/>
        <v/>
      </c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</row>
    <row r="234" spans="10:33" x14ac:dyDescent="0.2">
      <c r="J234" s="34"/>
      <c r="K234" s="34" t="str">
        <f t="shared" si="39"/>
        <v/>
      </c>
      <c r="L234" s="34" t="str">
        <f t="shared" si="37"/>
        <v/>
      </c>
      <c r="M234" s="34" t="str">
        <f t="shared" si="40"/>
        <v/>
      </c>
      <c r="N234" s="34" t="str">
        <f t="shared" si="41"/>
        <v/>
      </c>
      <c r="O234" s="34" t="str">
        <f t="shared" si="38"/>
        <v/>
      </c>
      <c r="P234" s="34" t="str">
        <f>IF(A234="","",IFERROR(VLOOKUP(A234,'表3（采购界面）'!A:J,10,0),"NA"))</f>
        <v/>
      </c>
      <c r="Q234" s="34" t="str">
        <f>IF(A234="","",IFERROR(VLOOKUP(A234,'表3（采购界面）'!A:Z,11,0),"NA"))</f>
        <v/>
      </c>
      <c r="R234" s="34" t="str">
        <f t="shared" si="42"/>
        <v/>
      </c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</row>
    <row r="235" spans="10:33" x14ac:dyDescent="0.2">
      <c r="J235" s="34"/>
      <c r="K235" s="34" t="str">
        <f t="shared" si="39"/>
        <v/>
      </c>
      <c r="L235" s="34" t="str">
        <f t="shared" si="37"/>
        <v/>
      </c>
      <c r="M235" s="34" t="str">
        <f t="shared" si="40"/>
        <v/>
      </c>
      <c r="N235" s="34" t="str">
        <f t="shared" si="41"/>
        <v/>
      </c>
      <c r="O235" s="34" t="str">
        <f t="shared" si="38"/>
        <v/>
      </c>
      <c r="P235" s="34" t="str">
        <f>IF(A235="","",IFERROR(VLOOKUP(A235,'表3（采购界面）'!A:J,10,0),"NA"))</f>
        <v/>
      </c>
      <c r="Q235" s="34" t="str">
        <f>IF(A235="","",IFERROR(VLOOKUP(A235,'表3（采购界面）'!A:Z,11,0),"NA"))</f>
        <v/>
      </c>
      <c r="R235" s="34" t="str">
        <f t="shared" si="42"/>
        <v/>
      </c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</row>
    <row r="236" spans="10:33" x14ac:dyDescent="0.2">
      <c r="J236" s="34"/>
      <c r="K236" s="34" t="str">
        <f t="shared" si="39"/>
        <v/>
      </c>
      <c r="L236" s="34" t="str">
        <f t="shared" si="37"/>
        <v/>
      </c>
      <c r="M236" s="34" t="str">
        <f t="shared" si="40"/>
        <v/>
      </c>
      <c r="N236" s="34" t="str">
        <f t="shared" si="41"/>
        <v/>
      </c>
      <c r="O236" s="34" t="str">
        <f t="shared" si="38"/>
        <v/>
      </c>
      <c r="P236" s="34" t="str">
        <f>IF(A236="","",IFERROR(VLOOKUP(A236,'表3（采购界面）'!A:J,10,0),"NA"))</f>
        <v/>
      </c>
      <c r="Q236" s="34" t="str">
        <f>IF(A236="","",IFERROR(VLOOKUP(A236,'表3（采购界面）'!A:Z,11,0),"NA"))</f>
        <v/>
      </c>
      <c r="R236" s="34" t="str">
        <f t="shared" si="42"/>
        <v/>
      </c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</row>
    <row r="237" spans="10:33" x14ac:dyDescent="0.2">
      <c r="J237" s="34"/>
      <c r="K237" s="34" t="str">
        <f t="shared" si="39"/>
        <v/>
      </c>
      <c r="L237" s="34" t="str">
        <f t="shared" si="37"/>
        <v/>
      </c>
      <c r="M237" s="34" t="str">
        <f t="shared" si="40"/>
        <v/>
      </c>
      <c r="N237" s="34" t="str">
        <f t="shared" si="41"/>
        <v/>
      </c>
      <c r="O237" s="34" t="str">
        <f t="shared" si="38"/>
        <v/>
      </c>
      <c r="P237" s="34" t="str">
        <f>IF(A237="","",IFERROR(VLOOKUP(A237,'表3（采购界面）'!A:J,10,0),"NA"))</f>
        <v/>
      </c>
      <c r="Q237" s="34" t="str">
        <f>IF(A237="","",IFERROR(VLOOKUP(A237,'表3（采购界面）'!A:Z,11,0),"NA"))</f>
        <v/>
      </c>
      <c r="R237" s="34" t="str">
        <f t="shared" si="42"/>
        <v/>
      </c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</row>
    <row r="238" spans="10:33" x14ac:dyDescent="0.2">
      <c r="J238" s="34"/>
      <c r="K238" s="34" t="str">
        <f t="shared" si="39"/>
        <v/>
      </c>
      <c r="L238" s="34" t="str">
        <f t="shared" si="37"/>
        <v/>
      </c>
      <c r="M238" s="34" t="str">
        <f t="shared" si="40"/>
        <v/>
      </c>
      <c r="N238" s="34" t="str">
        <f t="shared" si="41"/>
        <v/>
      </c>
      <c r="O238" s="34" t="str">
        <f t="shared" si="38"/>
        <v/>
      </c>
      <c r="P238" s="34" t="str">
        <f>IF(A238="","",IFERROR(VLOOKUP(A238,'表3（采购界面）'!A:J,10,0),"NA"))</f>
        <v/>
      </c>
      <c r="Q238" s="34" t="str">
        <f>IF(A238="","",IFERROR(VLOOKUP(A238,'表3（采购界面）'!A:Z,11,0),"NA"))</f>
        <v/>
      </c>
      <c r="R238" s="34" t="str">
        <f t="shared" si="42"/>
        <v/>
      </c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</row>
    <row r="239" spans="10:33" x14ac:dyDescent="0.2">
      <c r="J239" s="34"/>
      <c r="K239" s="34" t="str">
        <f t="shared" si="39"/>
        <v/>
      </c>
      <c r="L239" s="34" t="str">
        <f t="shared" si="37"/>
        <v/>
      </c>
      <c r="M239" s="34" t="str">
        <f t="shared" si="40"/>
        <v/>
      </c>
      <c r="N239" s="34" t="str">
        <f t="shared" si="41"/>
        <v/>
      </c>
      <c r="O239" s="34" t="str">
        <f t="shared" si="38"/>
        <v/>
      </c>
      <c r="P239" s="34" t="str">
        <f>IF(A239="","",IFERROR(VLOOKUP(A239,'表3（采购界面）'!A:J,10,0),"NA"))</f>
        <v/>
      </c>
      <c r="Q239" s="34" t="str">
        <f>IF(A239="","",IFERROR(VLOOKUP(A239,'表3（采购界面）'!A:Z,11,0),"NA"))</f>
        <v/>
      </c>
      <c r="R239" s="34" t="str">
        <f t="shared" si="42"/>
        <v/>
      </c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</row>
    <row r="240" spans="10:33" x14ac:dyDescent="0.2">
      <c r="J240" s="34"/>
      <c r="K240" s="34" t="str">
        <f t="shared" si="39"/>
        <v/>
      </c>
      <c r="L240" s="34" t="str">
        <f t="shared" si="37"/>
        <v/>
      </c>
      <c r="M240" s="34" t="str">
        <f t="shared" si="40"/>
        <v/>
      </c>
      <c r="N240" s="34" t="str">
        <f t="shared" si="41"/>
        <v/>
      </c>
      <c r="O240" s="34" t="str">
        <f t="shared" si="38"/>
        <v/>
      </c>
      <c r="P240" s="34" t="str">
        <f>IF(A240="","",IFERROR(VLOOKUP(A240,'表3（采购界面）'!A:J,10,0),"NA"))</f>
        <v/>
      </c>
      <c r="Q240" s="34" t="str">
        <f>IF(A240="","",IFERROR(VLOOKUP(A240,'表3（采购界面）'!A:Z,11,0),"NA"))</f>
        <v/>
      </c>
      <c r="R240" s="34" t="str">
        <f t="shared" si="42"/>
        <v/>
      </c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</row>
    <row r="241" spans="10:33" x14ac:dyDescent="0.2">
      <c r="J241" s="34"/>
      <c r="K241" s="34" t="str">
        <f t="shared" si="39"/>
        <v/>
      </c>
      <c r="L241" s="34" t="str">
        <f t="shared" si="37"/>
        <v/>
      </c>
      <c r="M241" s="34" t="str">
        <f t="shared" si="40"/>
        <v/>
      </c>
      <c r="N241" s="34" t="str">
        <f t="shared" si="41"/>
        <v/>
      </c>
      <c r="O241" s="34" t="str">
        <f t="shared" si="38"/>
        <v/>
      </c>
      <c r="P241" s="34" t="str">
        <f>IF(A241="","",IFERROR(VLOOKUP(A241,'表3（采购界面）'!A:J,10,0),"NA"))</f>
        <v/>
      </c>
      <c r="Q241" s="34" t="str">
        <f>IF(A241="","",IFERROR(VLOOKUP(A241,'表3（采购界面）'!A:Z,11,0),"NA"))</f>
        <v/>
      </c>
      <c r="R241" s="34" t="str">
        <f t="shared" si="42"/>
        <v/>
      </c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</row>
    <row r="242" spans="10:33" x14ac:dyDescent="0.2">
      <c r="J242" s="34"/>
      <c r="K242" s="34" t="str">
        <f t="shared" si="39"/>
        <v/>
      </c>
      <c r="L242" s="34" t="str">
        <f t="shared" si="37"/>
        <v/>
      </c>
      <c r="M242" s="34" t="str">
        <f t="shared" si="40"/>
        <v/>
      </c>
      <c r="N242" s="34" t="str">
        <f t="shared" si="41"/>
        <v/>
      </c>
      <c r="O242" s="34" t="str">
        <f t="shared" si="38"/>
        <v/>
      </c>
      <c r="P242" s="34" t="str">
        <f>IF(A242="","",IFERROR(VLOOKUP(A242,'表3（采购界面）'!A:J,10,0),"NA"))</f>
        <v/>
      </c>
      <c r="Q242" s="34" t="str">
        <f>IF(A242="","",IFERROR(VLOOKUP(A242,'表3（采购界面）'!A:Z,11,0),"NA"))</f>
        <v/>
      </c>
      <c r="R242" s="34" t="str">
        <f t="shared" si="42"/>
        <v/>
      </c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</row>
    <row r="243" spans="10:33" x14ac:dyDescent="0.2">
      <c r="J243" s="34"/>
      <c r="K243" s="34" t="str">
        <f t="shared" si="39"/>
        <v/>
      </c>
      <c r="L243" s="34" t="str">
        <f t="shared" si="37"/>
        <v/>
      </c>
      <c r="M243" s="34" t="str">
        <f t="shared" si="40"/>
        <v/>
      </c>
      <c r="N243" s="34" t="str">
        <f t="shared" si="41"/>
        <v/>
      </c>
      <c r="O243" s="34" t="str">
        <f t="shared" si="38"/>
        <v/>
      </c>
      <c r="P243" s="34" t="str">
        <f>IF(A243="","",IFERROR(VLOOKUP(A243,'表3（采购界面）'!A:J,10,0),"NA"))</f>
        <v/>
      </c>
      <c r="Q243" s="34" t="str">
        <f>IF(A243="","",IFERROR(VLOOKUP(A243,'表3（采购界面）'!A:Z,11,0),"NA"))</f>
        <v/>
      </c>
      <c r="R243" s="34" t="str">
        <f t="shared" si="42"/>
        <v/>
      </c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</row>
    <row r="244" spans="10:33" x14ac:dyDescent="0.2">
      <c r="J244" s="34"/>
      <c r="K244" s="34" t="str">
        <f t="shared" si="39"/>
        <v/>
      </c>
      <c r="L244" s="34" t="str">
        <f t="shared" si="37"/>
        <v/>
      </c>
      <c r="M244" s="34" t="str">
        <f t="shared" si="40"/>
        <v/>
      </c>
      <c r="N244" s="34" t="str">
        <f t="shared" si="41"/>
        <v/>
      </c>
      <c r="O244" s="34" t="str">
        <f t="shared" si="38"/>
        <v/>
      </c>
      <c r="P244" s="34" t="str">
        <f>IF(A244="","",IFERROR(VLOOKUP(A244,'表3（采购界面）'!A:J,10,0),"NA"))</f>
        <v/>
      </c>
      <c r="Q244" s="34" t="str">
        <f>IF(A244="","",IFERROR(VLOOKUP(A244,'表3（采购界面）'!A:Z,11,0),"NA"))</f>
        <v/>
      </c>
      <c r="R244" s="34" t="str">
        <f t="shared" si="42"/>
        <v/>
      </c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</row>
    <row r="245" spans="10:33" x14ac:dyDescent="0.2">
      <c r="J245" s="34"/>
      <c r="K245" s="34" t="str">
        <f t="shared" si="39"/>
        <v/>
      </c>
      <c r="L245" s="34" t="str">
        <f t="shared" si="37"/>
        <v/>
      </c>
      <c r="M245" s="34" t="str">
        <f t="shared" si="40"/>
        <v/>
      </c>
      <c r="N245" s="34" t="str">
        <f t="shared" si="41"/>
        <v/>
      </c>
      <c r="O245" s="34" t="str">
        <f t="shared" si="38"/>
        <v/>
      </c>
      <c r="P245" s="34" t="str">
        <f>IF(A245="","",IFERROR(VLOOKUP(A245,'表3（采购界面）'!A:J,10,0),"NA"))</f>
        <v/>
      </c>
      <c r="Q245" s="34" t="str">
        <f>IF(A245="","",IFERROR(VLOOKUP(A245,'表3（采购界面）'!A:Z,11,0),"NA"))</f>
        <v/>
      </c>
      <c r="R245" s="34" t="str">
        <f t="shared" si="42"/>
        <v/>
      </c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</row>
    <row r="246" spans="10:33" x14ac:dyDescent="0.2">
      <c r="J246" s="34"/>
      <c r="K246" s="34" t="str">
        <f t="shared" si="39"/>
        <v/>
      </c>
      <c r="L246" s="34" t="str">
        <f t="shared" si="37"/>
        <v/>
      </c>
      <c r="M246" s="34" t="str">
        <f t="shared" si="40"/>
        <v/>
      </c>
      <c r="N246" s="34" t="str">
        <f t="shared" si="41"/>
        <v/>
      </c>
      <c r="O246" s="34" t="str">
        <f t="shared" si="38"/>
        <v/>
      </c>
      <c r="P246" s="34" t="str">
        <f>IF(A246="","",IFERROR(VLOOKUP(A246,'表3（采购界面）'!A:J,10,0),"NA"))</f>
        <v/>
      </c>
      <c r="Q246" s="34" t="str">
        <f>IF(A246="","",IFERROR(VLOOKUP(A246,'表3（采购界面）'!A:Z,11,0),"NA"))</f>
        <v/>
      </c>
      <c r="R246" s="34" t="str">
        <f t="shared" si="42"/>
        <v/>
      </c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</row>
    <row r="247" spans="10:33" x14ac:dyDescent="0.2">
      <c r="J247" s="34"/>
      <c r="K247" s="34" t="str">
        <f t="shared" si="39"/>
        <v/>
      </c>
      <c r="L247" s="34" t="str">
        <f t="shared" si="37"/>
        <v/>
      </c>
      <c r="M247" s="34" t="str">
        <f t="shared" si="40"/>
        <v/>
      </c>
      <c r="N247" s="34" t="str">
        <f t="shared" si="41"/>
        <v/>
      </c>
      <c r="O247" s="34" t="str">
        <f t="shared" si="38"/>
        <v/>
      </c>
      <c r="P247" s="34" t="str">
        <f>IF(A247="","",IFERROR(VLOOKUP(A247,'表3（采购界面）'!A:J,10,0),"NA"))</f>
        <v/>
      </c>
      <c r="Q247" s="34" t="str">
        <f>IF(A247="","",IFERROR(VLOOKUP(A247,'表3（采购界面）'!A:Z,11,0),"NA"))</f>
        <v/>
      </c>
      <c r="R247" s="34" t="str">
        <f t="shared" si="42"/>
        <v/>
      </c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</row>
    <row r="248" spans="10:33" x14ac:dyDescent="0.2">
      <c r="J248" s="34"/>
      <c r="K248" s="34" t="str">
        <f t="shared" si="39"/>
        <v/>
      </c>
      <c r="L248" s="34" t="str">
        <f t="shared" si="37"/>
        <v/>
      </c>
      <c r="M248" s="34" t="str">
        <f t="shared" si="40"/>
        <v/>
      </c>
      <c r="N248" s="34" t="str">
        <f t="shared" si="41"/>
        <v/>
      </c>
      <c r="O248" s="34" t="str">
        <f t="shared" si="38"/>
        <v/>
      </c>
      <c r="P248" s="34" t="str">
        <f>IF(A248="","",IFERROR(VLOOKUP(A248,'表3（采购界面）'!A:J,10,0),"NA"))</f>
        <v/>
      </c>
      <c r="Q248" s="34" t="str">
        <f>IF(A248="","",IFERROR(VLOOKUP(A248,'表3（采购界面）'!A:Z,11,0),"NA"))</f>
        <v/>
      </c>
      <c r="R248" s="34" t="str">
        <f t="shared" si="42"/>
        <v/>
      </c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</row>
    <row r="249" spans="10:33" x14ac:dyDescent="0.2">
      <c r="J249" s="34"/>
      <c r="K249" s="34" t="str">
        <f t="shared" si="39"/>
        <v/>
      </c>
      <c r="L249" s="34" t="str">
        <f t="shared" si="37"/>
        <v/>
      </c>
      <c r="M249" s="34" t="str">
        <f t="shared" si="40"/>
        <v/>
      </c>
      <c r="N249" s="34" t="str">
        <f t="shared" si="41"/>
        <v/>
      </c>
      <c r="O249" s="34" t="str">
        <f t="shared" si="38"/>
        <v/>
      </c>
      <c r="P249" s="34" t="str">
        <f>IF(A249="","",IFERROR(VLOOKUP(A249,'表3（采购界面）'!A:J,10,0),"NA"))</f>
        <v/>
      </c>
      <c r="Q249" s="34" t="str">
        <f>IF(A249="","",IFERROR(VLOOKUP(A249,'表3（采购界面）'!A:Z,11,0),"NA"))</f>
        <v/>
      </c>
      <c r="R249" s="34" t="str">
        <f t="shared" si="42"/>
        <v/>
      </c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</row>
    <row r="250" spans="10:33" x14ac:dyDescent="0.2">
      <c r="J250" s="34"/>
      <c r="K250" s="34" t="str">
        <f t="shared" si="39"/>
        <v/>
      </c>
      <c r="L250" s="34" t="str">
        <f t="shared" si="37"/>
        <v/>
      </c>
      <c r="M250" s="34" t="str">
        <f t="shared" si="40"/>
        <v/>
      </c>
      <c r="N250" s="34" t="str">
        <f t="shared" si="41"/>
        <v/>
      </c>
      <c r="O250" s="34" t="str">
        <f t="shared" si="38"/>
        <v/>
      </c>
      <c r="P250" s="34" t="str">
        <f>IF(A250="","",IFERROR(VLOOKUP(A250,'表3（采购界面）'!A:J,10,0),"NA"))</f>
        <v/>
      </c>
      <c r="Q250" s="34" t="str">
        <f>IF(A250="","",IFERROR(VLOOKUP(A250,'表3（采购界面）'!A:Z,11,0),"NA"))</f>
        <v/>
      </c>
      <c r="R250" s="34" t="str">
        <f t="shared" si="42"/>
        <v/>
      </c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</row>
    <row r="251" spans="10:33" x14ac:dyDescent="0.2">
      <c r="J251" s="34"/>
      <c r="K251" s="34" t="str">
        <f t="shared" si="39"/>
        <v/>
      </c>
      <c r="L251" s="34" t="str">
        <f t="shared" si="37"/>
        <v/>
      </c>
      <c r="M251" s="34" t="str">
        <f t="shared" si="40"/>
        <v/>
      </c>
      <c r="N251" s="34" t="str">
        <f t="shared" si="41"/>
        <v/>
      </c>
      <c r="O251" s="34" t="str">
        <f t="shared" si="38"/>
        <v/>
      </c>
      <c r="P251" s="34" t="str">
        <f>IF(A251="","",IFERROR(VLOOKUP(A251,'表3（采购界面）'!A:J,10,0),"NA"))</f>
        <v/>
      </c>
      <c r="Q251" s="34" t="str">
        <f>IF(A251="","",IFERROR(VLOOKUP(A251,'表3（采购界面）'!A:Z,11,0),"NA"))</f>
        <v/>
      </c>
      <c r="R251" s="34" t="str">
        <f t="shared" si="42"/>
        <v/>
      </c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</row>
    <row r="252" spans="10:33" x14ac:dyDescent="0.2">
      <c r="J252" s="34"/>
      <c r="K252" s="34" t="str">
        <f t="shared" si="39"/>
        <v/>
      </c>
      <c r="L252" s="34" t="str">
        <f t="shared" si="37"/>
        <v/>
      </c>
      <c r="M252" s="34" t="str">
        <f t="shared" si="40"/>
        <v/>
      </c>
      <c r="N252" s="34" t="str">
        <f t="shared" si="41"/>
        <v/>
      </c>
      <c r="O252" s="34" t="str">
        <f t="shared" si="38"/>
        <v/>
      </c>
      <c r="P252" s="34" t="str">
        <f>IF(A252="","",IFERROR(VLOOKUP(A252,'表3（采购界面）'!A:J,10,0),"NA"))</f>
        <v/>
      </c>
      <c r="Q252" s="34" t="str">
        <f>IF(A252="","",IFERROR(VLOOKUP(A252,'表3（采购界面）'!A:Z,11,0),"NA"))</f>
        <v/>
      </c>
      <c r="R252" s="34" t="str">
        <f t="shared" si="42"/>
        <v/>
      </c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</row>
    <row r="253" spans="10:33" x14ac:dyDescent="0.2">
      <c r="J253" s="34"/>
      <c r="K253" s="34" t="str">
        <f t="shared" si="39"/>
        <v/>
      </c>
      <c r="L253" s="34" t="str">
        <f t="shared" si="37"/>
        <v/>
      </c>
      <c r="M253" s="34" t="str">
        <f t="shared" si="40"/>
        <v/>
      </c>
      <c r="N253" s="34" t="str">
        <f t="shared" si="41"/>
        <v/>
      </c>
      <c r="O253" s="34" t="str">
        <f t="shared" si="38"/>
        <v/>
      </c>
      <c r="P253" s="34" t="str">
        <f>IF(A253="","",IFERROR(VLOOKUP(A253,'表3（采购界面）'!A:J,10,0),"NA"))</f>
        <v/>
      </c>
      <c r="Q253" s="34" t="str">
        <f>IF(A253="","",IFERROR(VLOOKUP(A253,'表3（采购界面）'!A:Z,11,0),"NA"))</f>
        <v/>
      </c>
      <c r="R253" s="34" t="str">
        <f t="shared" si="42"/>
        <v/>
      </c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</row>
    <row r="254" spans="10:33" x14ac:dyDescent="0.2">
      <c r="J254" s="34"/>
      <c r="K254" s="34" t="str">
        <f t="shared" si="39"/>
        <v/>
      </c>
      <c r="L254" s="34" t="str">
        <f t="shared" si="37"/>
        <v/>
      </c>
      <c r="M254" s="34" t="str">
        <f t="shared" si="40"/>
        <v/>
      </c>
      <c r="N254" s="34" t="str">
        <f t="shared" si="41"/>
        <v/>
      </c>
      <c r="O254" s="34" t="str">
        <f t="shared" si="38"/>
        <v/>
      </c>
      <c r="P254" s="34" t="str">
        <f>IF(A254="","",IFERROR(VLOOKUP(A254,'表3（采购界面）'!A:J,10,0),"NA"))</f>
        <v/>
      </c>
      <c r="Q254" s="34" t="str">
        <f>IF(A254="","",IFERROR(VLOOKUP(A254,'表3（采购界面）'!A:Z,11,0),"NA"))</f>
        <v/>
      </c>
      <c r="R254" s="34" t="str">
        <f t="shared" si="42"/>
        <v/>
      </c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</row>
    <row r="255" spans="10:33" x14ac:dyDescent="0.2">
      <c r="J255" s="34"/>
      <c r="K255" s="34" t="str">
        <f t="shared" si="39"/>
        <v/>
      </c>
      <c r="L255" s="34" t="str">
        <f t="shared" si="37"/>
        <v/>
      </c>
      <c r="M255" s="34" t="str">
        <f t="shared" si="40"/>
        <v/>
      </c>
      <c r="N255" s="34" t="str">
        <f t="shared" si="41"/>
        <v/>
      </c>
      <c r="O255" s="34" t="str">
        <f t="shared" si="38"/>
        <v/>
      </c>
      <c r="P255" s="34" t="str">
        <f>IF(A255="","",IFERROR(VLOOKUP(A255,'表3（采购界面）'!A:J,10,0),"NA"))</f>
        <v/>
      </c>
      <c r="Q255" s="34" t="str">
        <f>IF(A255="","",IFERROR(VLOOKUP(A255,'表3（采购界面）'!A:Z,11,0),"NA"))</f>
        <v/>
      </c>
      <c r="R255" s="34" t="str">
        <f t="shared" si="42"/>
        <v/>
      </c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</row>
    <row r="256" spans="10:33" x14ac:dyDescent="0.2">
      <c r="J256" s="34"/>
      <c r="K256" s="34" t="str">
        <f t="shared" si="39"/>
        <v/>
      </c>
      <c r="L256" s="34" t="str">
        <f t="shared" si="37"/>
        <v/>
      </c>
      <c r="M256" s="34" t="str">
        <f t="shared" si="40"/>
        <v/>
      </c>
      <c r="N256" s="34" t="str">
        <f t="shared" si="41"/>
        <v/>
      </c>
      <c r="O256" s="34" t="str">
        <f t="shared" si="38"/>
        <v/>
      </c>
      <c r="P256" s="34" t="str">
        <f>IF(A256="","",IFERROR(VLOOKUP(A256,'表3（采购界面）'!A:J,10,0),"NA"))</f>
        <v/>
      </c>
      <c r="Q256" s="34" t="str">
        <f>IF(A256="","",IFERROR(VLOOKUP(A256,'表3（采购界面）'!A:Z,11,0),"NA"))</f>
        <v/>
      </c>
      <c r="R256" s="34" t="str">
        <f t="shared" si="42"/>
        <v/>
      </c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</row>
    <row r="257" spans="10:33" x14ac:dyDescent="0.2">
      <c r="J257" s="34"/>
      <c r="K257" s="34" t="str">
        <f t="shared" si="39"/>
        <v/>
      </c>
      <c r="L257" s="34" t="str">
        <f t="shared" si="37"/>
        <v/>
      </c>
      <c r="M257" s="34" t="str">
        <f t="shared" si="40"/>
        <v/>
      </c>
      <c r="N257" s="34" t="str">
        <f t="shared" si="41"/>
        <v/>
      </c>
      <c r="O257" s="34" t="str">
        <f t="shared" si="38"/>
        <v/>
      </c>
      <c r="P257" s="34" t="str">
        <f>IF(A257="","",IFERROR(VLOOKUP(A257,'表3（采购界面）'!A:J,10,0),"NA"))</f>
        <v/>
      </c>
      <c r="Q257" s="34" t="str">
        <f>IF(A257="","",IFERROR(VLOOKUP(A257,'表3（采购界面）'!A:Z,11,0),"NA"))</f>
        <v/>
      </c>
      <c r="R257" s="34" t="str">
        <f t="shared" si="42"/>
        <v/>
      </c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</row>
    <row r="258" spans="10:33" x14ac:dyDescent="0.2">
      <c r="J258" s="34"/>
      <c r="K258" s="34" t="str">
        <f t="shared" si="39"/>
        <v/>
      </c>
      <c r="L258" s="34" t="str">
        <f t="shared" si="37"/>
        <v/>
      </c>
      <c r="M258" s="34" t="str">
        <f t="shared" si="40"/>
        <v/>
      </c>
      <c r="N258" s="34" t="str">
        <f t="shared" si="41"/>
        <v/>
      </c>
      <c r="O258" s="34" t="str">
        <f t="shared" si="38"/>
        <v/>
      </c>
      <c r="P258" s="34" t="str">
        <f>IF(A258="","",IFERROR(VLOOKUP(A258,'表3（采购界面）'!A:J,10,0),"NA"))</f>
        <v/>
      </c>
      <c r="Q258" s="34" t="str">
        <f>IF(A258="","",IFERROR(VLOOKUP(A258,'表3（采购界面）'!A:Z,11,0),"NA"))</f>
        <v/>
      </c>
      <c r="R258" s="34" t="str">
        <f t="shared" si="42"/>
        <v/>
      </c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</row>
    <row r="259" spans="10:33" x14ac:dyDescent="0.2">
      <c r="J259" s="34"/>
      <c r="K259" s="34" t="str">
        <f t="shared" si="39"/>
        <v/>
      </c>
      <c r="L259" s="34" t="str">
        <f t="shared" si="37"/>
        <v/>
      </c>
      <c r="M259" s="34" t="str">
        <f t="shared" si="40"/>
        <v/>
      </c>
      <c r="N259" s="34" t="str">
        <f t="shared" si="41"/>
        <v/>
      </c>
      <c r="O259" s="34" t="str">
        <f t="shared" si="38"/>
        <v/>
      </c>
      <c r="P259" s="34" t="str">
        <f>IF(A259="","",IFERROR(VLOOKUP(A259,'表3（采购界面）'!A:J,10,0),"NA"))</f>
        <v/>
      </c>
      <c r="Q259" s="34" t="str">
        <f>IF(A259="","",IFERROR(VLOOKUP(A259,'表3（采购界面）'!A:Z,11,0),"NA"))</f>
        <v/>
      </c>
      <c r="R259" s="34" t="str">
        <f t="shared" si="42"/>
        <v/>
      </c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</row>
    <row r="260" spans="10:33" x14ac:dyDescent="0.2">
      <c r="J260" s="34"/>
      <c r="K260" s="34" t="str">
        <f t="shared" si="39"/>
        <v/>
      </c>
      <c r="L260" s="34" t="str">
        <f t="shared" si="37"/>
        <v/>
      </c>
      <c r="M260" s="34" t="str">
        <f t="shared" si="40"/>
        <v/>
      </c>
      <c r="N260" s="34" t="str">
        <f t="shared" si="41"/>
        <v/>
      </c>
      <c r="O260" s="34" t="str">
        <f t="shared" si="38"/>
        <v/>
      </c>
      <c r="P260" s="34" t="str">
        <f>IF(A260="","",IFERROR(VLOOKUP(A260,'表3（采购界面）'!A:J,10,0),"NA"))</f>
        <v/>
      </c>
      <c r="Q260" s="34" t="str">
        <f>IF(A260="","",IFERROR(VLOOKUP(A260,'表3（采购界面）'!A:Z,11,0),"NA"))</f>
        <v/>
      </c>
      <c r="R260" s="34" t="str">
        <f t="shared" si="42"/>
        <v/>
      </c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</row>
    <row r="261" spans="10:33" x14ac:dyDescent="0.2">
      <c r="J261" s="34"/>
      <c r="K261" s="34" t="str">
        <f t="shared" si="39"/>
        <v/>
      </c>
      <c r="L261" s="34" t="str">
        <f t="shared" ref="L261:L324" si="43">_xlfn.IFS(LEFT(A261)="1","MB",LEFT(A261)="2","WB",LEFT(A261)="3","WB",AND(LEFT(A261)="4",D261&lt;&gt;"中国",J261&lt;&gt;"Y01"),"FX",A261&lt;&gt;"","EX",A261="","")</f>
        <v/>
      </c>
      <c r="M261" s="34" t="str">
        <f t="shared" si="40"/>
        <v/>
      </c>
      <c r="N261" s="34" t="str">
        <f t="shared" si="41"/>
        <v/>
      </c>
      <c r="O261" s="34" t="str">
        <f t="shared" ref="O261:O324" si="44">IF(OR(LEFT(A261,1)="4",LEFT(A261,1)="5"),"NA","")</f>
        <v/>
      </c>
      <c r="P261" s="34" t="str">
        <f>IF(A261="","",IFERROR(VLOOKUP(A261,'表3（采购界面）'!A:J,10,0),"NA"))</f>
        <v/>
      </c>
      <c r="Q261" s="34" t="str">
        <f>IF(A261="","",IFERROR(VLOOKUP(A261,'表3（采购界面）'!A:Z,11,0),"NA"))</f>
        <v/>
      </c>
      <c r="R261" s="34" t="str">
        <f t="shared" si="42"/>
        <v/>
      </c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</row>
    <row r="262" spans="10:33" x14ac:dyDescent="0.2">
      <c r="J262" s="34"/>
      <c r="K262" s="34" t="str">
        <f t="shared" ref="K262:K325" si="45">_xlfn.IFS(AND(LEFT(A262,1)="4",D262="中国"),"ND",AND(LEFT(A262,1)="5",D262="中国"),"ND",AND(LEFT(A262,1)="5",D262&lt;&gt;"中国"),"M2",A262="","",A262&lt;&gt;"","PD")</f>
        <v/>
      </c>
      <c r="L262" s="34" t="str">
        <f t="shared" si="43"/>
        <v/>
      </c>
      <c r="M262" s="34" t="str">
        <f t="shared" ref="M262:M325" si="46">IF(OR(L262="FX",L262=""),"","NA")</f>
        <v/>
      </c>
      <c r="N262" s="34" t="str">
        <f t="shared" ref="N262:N325" si="47">IF(A262="","","NA")</f>
        <v/>
      </c>
      <c r="O262" s="34" t="str">
        <f t="shared" si="44"/>
        <v/>
      </c>
      <c r="P262" s="34" t="str">
        <f>IF(A262="","",IFERROR(VLOOKUP(A262,'表3（采购界面）'!A:J,10,0),"NA"))</f>
        <v/>
      </c>
      <c r="Q262" s="34" t="str">
        <f>IF(A262="","",IFERROR(VLOOKUP(A262,'表3（采购界面）'!A:Z,11,0),"NA"))</f>
        <v/>
      </c>
      <c r="R262" s="34" t="str">
        <f t="shared" ref="R262:R325" si="48">IF(A262="","",IF(OR(LEFT(A262,1)="1",LEFT(A262,1)="2",LEFT(A262,1)="3"),"F","E"))</f>
        <v/>
      </c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</row>
    <row r="263" spans="10:33" x14ac:dyDescent="0.2">
      <c r="J263" s="34"/>
      <c r="K263" s="34" t="str">
        <f t="shared" si="45"/>
        <v/>
      </c>
      <c r="L263" s="34" t="str">
        <f t="shared" si="43"/>
        <v/>
      </c>
      <c r="M263" s="34" t="str">
        <f t="shared" si="46"/>
        <v/>
      </c>
      <c r="N263" s="34" t="str">
        <f t="shared" si="47"/>
        <v/>
      </c>
      <c r="O263" s="34" t="str">
        <f t="shared" si="44"/>
        <v/>
      </c>
      <c r="P263" s="34" t="str">
        <f>IF(A263="","",IFERROR(VLOOKUP(A263,'表3（采购界面）'!A:J,10,0),"NA"))</f>
        <v/>
      </c>
      <c r="Q263" s="34" t="str">
        <f>IF(A263="","",IFERROR(VLOOKUP(A263,'表3（采购界面）'!A:Z,11,0),"NA"))</f>
        <v/>
      </c>
      <c r="R263" s="34" t="str">
        <f t="shared" si="48"/>
        <v/>
      </c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</row>
    <row r="264" spans="10:33" x14ac:dyDescent="0.2">
      <c r="J264" s="34"/>
      <c r="K264" s="34" t="str">
        <f t="shared" si="45"/>
        <v/>
      </c>
      <c r="L264" s="34" t="str">
        <f t="shared" si="43"/>
        <v/>
      </c>
      <c r="M264" s="34" t="str">
        <f t="shared" si="46"/>
        <v/>
      </c>
      <c r="N264" s="34" t="str">
        <f t="shared" si="47"/>
        <v/>
      </c>
      <c r="O264" s="34" t="str">
        <f t="shared" si="44"/>
        <v/>
      </c>
      <c r="P264" s="34" t="str">
        <f>IF(A264="","",IFERROR(VLOOKUP(A264,'表3（采购界面）'!A:J,10,0),"NA"))</f>
        <v/>
      </c>
      <c r="Q264" s="34" t="str">
        <f>IF(A264="","",IFERROR(VLOOKUP(A264,'表3（采购界面）'!A:Z,11,0),"NA"))</f>
        <v/>
      </c>
      <c r="R264" s="34" t="str">
        <f t="shared" si="48"/>
        <v/>
      </c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</row>
    <row r="265" spans="10:33" x14ac:dyDescent="0.2">
      <c r="J265" s="34"/>
      <c r="K265" s="34" t="str">
        <f t="shared" si="45"/>
        <v/>
      </c>
      <c r="L265" s="34" t="str">
        <f t="shared" si="43"/>
        <v/>
      </c>
      <c r="M265" s="34" t="str">
        <f t="shared" si="46"/>
        <v/>
      </c>
      <c r="N265" s="34" t="str">
        <f t="shared" si="47"/>
        <v/>
      </c>
      <c r="O265" s="34" t="str">
        <f t="shared" si="44"/>
        <v/>
      </c>
      <c r="P265" s="34" t="str">
        <f>IF(A265="","",IFERROR(VLOOKUP(A265,'表3（采购界面）'!A:J,10,0),"NA"))</f>
        <v/>
      </c>
      <c r="Q265" s="34" t="str">
        <f>IF(A265="","",IFERROR(VLOOKUP(A265,'表3（采购界面）'!A:Z,11,0),"NA"))</f>
        <v/>
      </c>
      <c r="R265" s="34" t="str">
        <f t="shared" si="48"/>
        <v/>
      </c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</row>
    <row r="266" spans="10:33" x14ac:dyDescent="0.2">
      <c r="J266" s="34"/>
      <c r="K266" s="34" t="str">
        <f t="shared" si="45"/>
        <v/>
      </c>
      <c r="L266" s="34" t="str">
        <f t="shared" si="43"/>
        <v/>
      </c>
      <c r="M266" s="34" t="str">
        <f t="shared" si="46"/>
        <v/>
      </c>
      <c r="N266" s="34" t="str">
        <f t="shared" si="47"/>
        <v/>
      </c>
      <c r="O266" s="34" t="str">
        <f t="shared" si="44"/>
        <v/>
      </c>
      <c r="P266" s="34" t="str">
        <f>IF(A266="","",IFERROR(VLOOKUP(A266,'表3（采购界面）'!A:J,10,0),"NA"))</f>
        <v/>
      </c>
      <c r="Q266" s="34" t="str">
        <f>IF(A266="","",IFERROR(VLOOKUP(A266,'表3（采购界面）'!A:Z,11,0),"NA"))</f>
        <v/>
      </c>
      <c r="R266" s="34" t="str">
        <f t="shared" si="48"/>
        <v/>
      </c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</row>
    <row r="267" spans="10:33" x14ac:dyDescent="0.2">
      <c r="J267" s="34"/>
      <c r="K267" s="34" t="str">
        <f t="shared" si="45"/>
        <v/>
      </c>
      <c r="L267" s="34" t="str">
        <f t="shared" si="43"/>
        <v/>
      </c>
      <c r="M267" s="34" t="str">
        <f t="shared" si="46"/>
        <v/>
      </c>
      <c r="N267" s="34" t="str">
        <f t="shared" si="47"/>
        <v/>
      </c>
      <c r="O267" s="34" t="str">
        <f t="shared" si="44"/>
        <v/>
      </c>
      <c r="P267" s="34" t="str">
        <f>IF(A267="","",IFERROR(VLOOKUP(A267,'表3（采购界面）'!A:J,10,0),"NA"))</f>
        <v/>
      </c>
      <c r="Q267" s="34" t="str">
        <f>IF(A267="","",IFERROR(VLOOKUP(A267,'表3（采购界面）'!A:Z,11,0),"NA"))</f>
        <v/>
      </c>
      <c r="R267" s="34" t="str">
        <f t="shared" si="48"/>
        <v/>
      </c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</row>
    <row r="268" spans="10:33" x14ac:dyDescent="0.2">
      <c r="J268" s="34"/>
      <c r="K268" s="34" t="str">
        <f t="shared" si="45"/>
        <v/>
      </c>
      <c r="L268" s="34" t="str">
        <f t="shared" si="43"/>
        <v/>
      </c>
      <c r="M268" s="34" t="str">
        <f t="shared" si="46"/>
        <v/>
      </c>
      <c r="N268" s="34" t="str">
        <f t="shared" si="47"/>
        <v/>
      </c>
      <c r="O268" s="34" t="str">
        <f t="shared" si="44"/>
        <v/>
      </c>
      <c r="P268" s="34" t="str">
        <f>IF(A268="","",IFERROR(VLOOKUP(A268,'表3（采购界面）'!A:J,10,0),"NA"))</f>
        <v/>
      </c>
      <c r="Q268" s="34" t="str">
        <f>IF(A268="","",IFERROR(VLOOKUP(A268,'表3（采购界面）'!A:Z,11,0),"NA"))</f>
        <v/>
      </c>
      <c r="R268" s="34" t="str">
        <f t="shared" si="48"/>
        <v/>
      </c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</row>
    <row r="269" spans="10:33" x14ac:dyDescent="0.2">
      <c r="J269" s="34"/>
      <c r="K269" s="34" t="str">
        <f t="shared" si="45"/>
        <v/>
      </c>
      <c r="L269" s="34" t="str">
        <f t="shared" si="43"/>
        <v/>
      </c>
      <c r="M269" s="34" t="str">
        <f t="shared" si="46"/>
        <v/>
      </c>
      <c r="N269" s="34" t="str">
        <f t="shared" si="47"/>
        <v/>
      </c>
      <c r="O269" s="34" t="str">
        <f t="shared" si="44"/>
        <v/>
      </c>
      <c r="P269" s="34" t="str">
        <f>IF(A269="","",IFERROR(VLOOKUP(A269,'表3（采购界面）'!A:J,10,0),"NA"))</f>
        <v/>
      </c>
      <c r="Q269" s="34" t="str">
        <f>IF(A269="","",IFERROR(VLOOKUP(A269,'表3（采购界面）'!A:Z,11,0),"NA"))</f>
        <v/>
      </c>
      <c r="R269" s="34" t="str">
        <f t="shared" si="48"/>
        <v/>
      </c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</row>
    <row r="270" spans="10:33" x14ac:dyDescent="0.2">
      <c r="J270" s="34"/>
      <c r="K270" s="34" t="str">
        <f t="shared" si="45"/>
        <v/>
      </c>
      <c r="L270" s="34" t="str">
        <f t="shared" si="43"/>
        <v/>
      </c>
      <c r="M270" s="34" t="str">
        <f t="shared" si="46"/>
        <v/>
      </c>
      <c r="N270" s="34" t="str">
        <f t="shared" si="47"/>
        <v/>
      </c>
      <c r="O270" s="34" t="str">
        <f t="shared" si="44"/>
        <v/>
      </c>
      <c r="P270" s="34" t="str">
        <f>IF(A270="","",IFERROR(VLOOKUP(A270,'表3（采购界面）'!A:J,10,0),"NA"))</f>
        <v/>
      </c>
      <c r="Q270" s="34" t="str">
        <f>IF(A270="","",IFERROR(VLOOKUP(A270,'表3（采购界面）'!A:Z,11,0),"NA"))</f>
        <v/>
      </c>
      <c r="R270" s="34" t="str">
        <f t="shared" si="48"/>
        <v/>
      </c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</row>
    <row r="271" spans="10:33" x14ac:dyDescent="0.2">
      <c r="J271" s="34"/>
      <c r="K271" s="34" t="str">
        <f t="shared" si="45"/>
        <v/>
      </c>
      <c r="L271" s="34" t="str">
        <f t="shared" si="43"/>
        <v/>
      </c>
      <c r="M271" s="34" t="str">
        <f t="shared" si="46"/>
        <v/>
      </c>
      <c r="N271" s="34" t="str">
        <f t="shared" si="47"/>
        <v/>
      </c>
      <c r="O271" s="34" t="str">
        <f t="shared" si="44"/>
        <v/>
      </c>
      <c r="P271" s="34" t="str">
        <f>IF(A271="","",IFERROR(VLOOKUP(A271,'表3（采购界面）'!A:J,10,0),"NA"))</f>
        <v/>
      </c>
      <c r="Q271" s="34" t="str">
        <f>IF(A271="","",IFERROR(VLOOKUP(A271,'表3（采购界面）'!A:Z,11,0),"NA"))</f>
        <v/>
      </c>
      <c r="R271" s="34" t="str">
        <f t="shared" si="48"/>
        <v/>
      </c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</row>
    <row r="272" spans="10:33" x14ac:dyDescent="0.2">
      <c r="J272" s="34"/>
      <c r="K272" s="34" t="str">
        <f t="shared" si="45"/>
        <v/>
      </c>
      <c r="L272" s="34" t="str">
        <f t="shared" si="43"/>
        <v/>
      </c>
      <c r="M272" s="34" t="str">
        <f t="shared" si="46"/>
        <v/>
      </c>
      <c r="N272" s="34" t="str">
        <f t="shared" si="47"/>
        <v/>
      </c>
      <c r="O272" s="34" t="str">
        <f t="shared" si="44"/>
        <v/>
      </c>
      <c r="P272" s="34" t="str">
        <f>IF(A272="","",IFERROR(VLOOKUP(A272,'表3（采购界面）'!A:J,10,0),"NA"))</f>
        <v/>
      </c>
      <c r="Q272" s="34" t="str">
        <f>IF(A272="","",IFERROR(VLOOKUP(A272,'表3（采购界面）'!A:Z,11,0),"NA"))</f>
        <v/>
      </c>
      <c r="R272" s="34" t="str">
        <f t="shared" si="48"/>
        <v/>
      </c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</row>
    <row r="273" spans="10:33" x14ac:dyDescent="0.2">
      <c r="J273" s="34"/>
      <c r="K273" s="34" t="str">
        <f t="shared" si="45"/>
        <v/>
      </c>
      <c r="L273" s="34" t="str">
        <f t="shared" si="43"/>
        <v/>
      </c>
      <c r="M273" s="34" t="str">
        <f t="shared" si="46"/>
        <v/>
      </c>
      <c r="N273" s="34" t="str">
        <f t="shared" si="47"/>
        <v/>
      </c>
      <c r="O273" s="34" t="str">
        <f t="shared" si="44"/>
        <v/>
      </c>
      <c r="P273" s="34" t="str">
        <f>IF(A273="","",IFERROR(VLOOKUP(A273,'表3（采购界面）'!A:J,10,0),"NA"))</f>
        <v/>
      </c>
      <c r="Q273" s="34" t="str">
        <f>IF(A273="","",IFERROR(VLOOKUP(A273,'表3（采购界面）'!A:Z,11,0),"NA"))</f>
        <v/>
      </c>
      <c r="R273" s="34" t="str">
        <f t="shared" si="48"/>
        <v/>
      </c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</row>
    <row r="274" spans="10:33" x14ac:dyDescent="0.2">
      <c r="J274" s="34"/>
      <c r="K274" s="34" t="str">
        <f t="shared" si="45"/>
        <v/>
      </c>
      <c r="L274" s="34" t="str">
        <f t="shared" si="43"/>
        <v/>
      </c>
      <c r="M274" s="34" t="str">
        <f t="shared" si="46"/>
        <v/>
      </c>
      <c r="N274" s="34" t="str">
        <f t="shared" si="47"/>
        <v/>
      </c>
      <c r="O274" s="34" t="str">
        <f t="shared" si="44"/>
        <v/>
      </c>
      <c r="P274" s="34" t="str">
        <f>IF(A274="","",IFERROR(VLOOKUP(A274,'表3（采购界面）'!A:J,10,0),"NA"))</f>
        <v/>
      </c>
      <c r="Q274" s="34" t="str">
        <f>IF(A274="","",IFERROR(VLOOKUP(A274,'表3（采购界面）'!A:Z,11,0),"NA"))</f>
        <v/>
      </c>
      <c r="R274" s="34" t="str">
        <f t="shared" si="48"/>
        <v/>
      </c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</row>
    <row r="275" spans="10:33" x14ac:dyDescent="0.2">
      <c r="J275" s="34"/>
      <c r="K275" s="34" t="str">
        <f t="shared" si="45"/>
        <v/>
      </c>
      <c r="L275" s="34" t="str">
        <f t="shared" si="43"/>
        <v/>
      </c>
      <c r="M275" s="34" t="str">
        <f t="shared" si="46"/>
        <v/>
      </c>
      <c r="N275" s="34" t="str">
        <f t="shared" si="47"/>
        <v/>
      </c>
      <c r="O275" s="34" t="str">
        <f t="shared" si="44"/>
        <v/>
      </c>
      <c r="P275" s="34" t="str">
        <f>IF(A275="","",IFERROR(VLOOKUP(A275,'表3（采购界面）'!A:J,10,0),"NA"))</f>
        <v/>
      </c>
      <c r="Q275" s="34" t="str">
        <f>IF(A275="","",IFERROR(VLOOKUP(A275,'表3（采购界面）'!A:Z,11,0),"NA"))</f>
        <v/>
      </c>
      <c r="R275" s="34" t="str">
        <f t="shared" si="48"/>
        <v/>
      </c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</row>
    <row r="276" spans="10:33" x14ac:dyDescent="0.2">
      <c r="J276" s="34"/>
      <c r="K276" s="34" t="str">
        <f t="shared" si="45"/>
        <v/>
      </c>
      <c r="L276" s="34" t="str">
        <f t="shared" si="43"/>
        <v/>
      </c>
      <c r="M276" s="34" t="str">
        <f t="shared" si="46"/>
        <v/>
      </c>
      <c r="N276" s="34" t="str">
        <f t="shared" si="47"/>
        <v/>
      </c>
      <c r="O276" s="34" t="str">
        <f t="shared" si="44"/>
        <v/>
      </c>
      <c r="P276" s="34" t="str">
        <f>IF(A276="","",IFERROR(VLOOKUP(A276,'表3（采购界面）'!A:J,10,0),"NA"))</f>
        <v/>
      </c>
      <c r="Q276" s="34" t="str">
        <f>IF(A276="","",IFERROR(VLOOKUP(A276,'表3（采购界面）'!A:Z,11,0),"NA"))</f>
        <v/>
      </c>
      <c r="R276" s="34" t="str">
        <f t="shared" si="48"/>
        <v/>
      </c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</row>
    <row r="277" spans="10:33" x14ac:dyDescent="0.2">
      <c r="J277" s="34"/>
      <c r="K277" s="34" t="str">
        <f t="shared" si="45"/>
        <v/>
      </c>
      <c r="L277" s="34" t="str">
        <f t="shared" si="43"/>
        <v/>
      </c>
      <c r="M277" s="34" t="str">
        <f t="shared" si="46"/>
        <v/>
      </c>
      <c r="N277" s="34" t="str">
        <f t="shared" si="47"/>
        <v/>
      </c>
      <c r="O277" s="34" t="str">
        <f t="shared" si="44"/>
        <v/>
      </c>
      <c r="P277" s="34" t="str">
        <f>IF(A277="","",IFERROR(VLOOKUP(A277,'表3（采购界面）'!A:J,10,0),"NA"))</f>
        <v/>
      </c>
      <c r="Q277" s="34" t="str">
        <f>IF(A277="","",IFERROR(VLOOKUP(A277,'表3（采购界面）'!A:Z,11,0),"NA"))</f>
        <v/>
      </c>
      <c r="R277" s="34" t="str">
        <f t="shared" si="48"/>
        <v/>
      </c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</row>
    <row r="278" spans="10:33" x14ac:dyDescent="0.2">
      <c r="J278" s="34"/>
      <c r="K278" s="34" t="str">
        <f t="shared" si="45"/>
        <v/>
      </c>
      <c r="L278" s="34" t="str">
        <f t="shared" si="43"/>
        <v/>
      </c>
      <c r="M278" s="34" t="str">
        <f t="shared" si="46"/>
        <v/>
      </c>
      <c r="N278" s="34" t="str">
        <f t="shared" si="47"/>
        <v/>
      </c>
      <c r="O278" s="34" t="str">
        <f t="shared" si="44"/>
        <v/>
      </c>
      <c r="P278" s="34" t="str">
        <f>IF(A278="","",IFERROR(VLOOKUP(A278,'表3（采购界面）'!A:J,10,0),"NA"))</f>
        <v/>
      </c>
      <c r="Q278" s="34" t="str">
        <f>IF(A278="","",IFERROR(VLOOKUP(A278,'表3（采购界面）'!A:Z,11,0),"NA"))</f>
        <v/>
      </c>
      <c r="R278" s="34" t="str">
        <f t="shared" si="48"/>
        <v/>
      </c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</row>
    <row r="279" spans="10:33" x14ac:dyDescent="0.2">
      <c r="J279" s="34"/>
      <c r="K279" s="34" t="str">
        <f t="shared" si="45"/>
        <v/>
      </c>
      <c r="L279" s="34" t="str">
        <f t="shared" si="43"/>
        <v/>
      </c>
      <c r="M279" s="34" t="str">
        <f t="shared" si="46"/>
        <v/>
      </c>
      <c r="N279" s="34" t="str">
        <f t="shared" si="47"/>
        <v/>
      </c>
      <c r="O279" s="34" t="str">
        <f t="shared" si="44"/>
        <v/>
      </c>
      <c r="P279" s="34" t="str">
        <f>IF(A279="","",IFERROR(VLOOKUP(A279,'表3（采购界面）'!A:J,10,0),"NA"))</f>
        <v/>
      </c>
      <c r="Q279" s="34" t="str">
        <f>IF(A279="","",IFERROR(VLOOKUP(A279,'表3（采购界面）'!A:Z,11,0),"NA"))</f>
        <v/>
      </c>
      <c r="R279" s="34" t="str">
        <f t="shared" si="48"/>
        <v/>
      </c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</row>
    <row r="280" spans="10:33" x14ac:dyDescent="0.2">
      <c r="J280" s="34"/>
      <c r="K280" s="34" t="str">
        <f t="shared" si="45"/>
        <v/>
      </c>
      <c r="L280" s="34" t="str">
        <f t="shared" si="43"/>
        <v/>
      </c>
      <c r="M280" s="34" t="str">
        <f t="shared" si="46"/>
        <v/>
      </c>
      <c r="N280" s="34" t="str">
        <f t="shared" si="47"/>
        <v/>
      </c>
      <c r="O280" s="34" t="str">
        <f t="shared" si="44"/>
        <v/>
      </c>
      <c r="P280" s="34" t="str">
        <f>IF(A280="","",IFERROR(VLOOKUP(A280,'表3（采购界面）'!A:J,10,0),"NA"))</f>
        <v/>
      </c>
      <c r="Q280" s="34" t="str">
        <f>IF(A280="","",IFERROR(VLOOKUP(A280,'表3（采购界面）'!A:Z,11,0),"NA"))</f>
        <v/>
      </c>
      <c r="R280" s="34" t="str">
        <f t="shared" si="48"/>
        <v/>
      </c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</row>
    <row r="281" spans="10:33" x14ac:dyDescent="0.2">
      <c r="J281" s="34"/>
      <c r="K281" s="34" t="str">
        <f t="shared" si="45"/>
        <v/>
      </c>
      <c r="L281" s="34" t="str">
        <f t="shared" si="43"/>
        <v/>
      </c>
      <c r="M281" s="34" t="str">
        <f t="shared" si="46"/>
        <v/>
      </c>
      <c r="N281" s="34" t="str">
        <f t="shared" si="47"/>
        <v/>
      </c>
      <c r="O281" s="34" t="str">
        <f t="shared" si="44"/>
        <v/>
      </c>
      <c r="P281" s="34" t="str">
        <f>IF(A281="","",IFERROR(VLOOKUP(A281,'表3（采购界面）'!A:J,10,0),"NA"))</f>
        <v/>
      </c>
      <c r="Q281" s="34" t="str">
        <f>IF(A281="","",IFERROR(VLOOKUP(A281,'表3（采购界面）'!A:Z,11,0),"NA"))</f>
        <v/>
      </c>
      <c r="R281" s="34" t="str">
        <f t="shared" si="48"/>
        <v/>
      </c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</row>
    <row r="282" spans="10:33" x14ac:dyDescent="0.2">
      <c r="J282" s="34"/>
      <c r="K282" s="34" t="str">
        <f t="shared" si="45"/>
        <v/>
      </c>
      <c r="L282" s="34" t="str">
        <f t="shared" si="43"/>
        <v/>
      </c>
      <c r="M282" s="34" t="str">
        <f t="shared" si="46"/>
        <v/>
      </c>
      <c r="N282" s="34" t="str">
        <f t="shared" si="47"/>
        <v/>
      </c>
      <c r="O282" s="34" t="str">
        <f t="shared" si="44"/>
        <v/>
      </c>
      <c r="P282" s="34" t="str">
        <f>IF(A282="","",IFERROR(VLOOKUP(A282,'表3（采购界面）'!A:J,10,0),"NA"))</f>
        <v/>
      </c>
      <c r="Q282" s="34" t="str">
        <f>IF(A282="","",IFERROR(VLOOKUP(A282,'表3（采购界面）'!A:Z,11,0),"NA"))</f>
        <v/>
      </c>
      <c r="R282" s="34" t="str">
        <f t="shared" si="48"/>
        <v/>
      </c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</row>
    <row r="283" spans="10:33" x14ac:dyDescent="0.2">
      <c r="J283" s="34"/>
      <c r="K283" s="34" t="str">
        <f t="shared" si="45"/>
        <v/>
      </c>
      <c r="L283" s="34" t="str">
        <f t="shared" si="43"/>
        <v/>
      </c>
      <c r="M283" s="34" t="str">
        <f t="shared" si="46"/>
        <v/>
      </c>
      <c r="N283" s="34" t="str">
        <f t="shared" si="47"/>
        <v/>
      </c>
      <c r="O283" s="34" t="str">
        <f t="shared" si="44"/>
        <v/>
      </c>
      <c r="P283" s="34" t="str">
        <f>IF(A283="","",IFERROR(VLOOKUP(A283,'表3（采购界面）'!A:J,10,0),"NA"))</f>
        <v/>
      </c>
      <c r="Q283" s="34" t="str">
        <f>IF(A283="","",IFERROR(VLOOKUP(A283,'表3（采购界面）'!A:Z,11,0),"NA"))</f>
        <v/>
      </c>
      <c r="R283" s="34" t="str">
        <f t="shared" si="48"/>
        <v/>
      </c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</row>
    <row r="284" spans="10:33" x14ac:dyDescent="0.2">
      <c r="J284" s="34"/>
      <c r="K284" s="34" t="str">
        <f t="shared" si="45"/>
        <v/>
      </c>
      <c r="L284" s="34" t="str">
        <f t="shared" si="43"/>
        <v/>
      </c>
      <c r="M284" s="34" t="str">
        <f t="shared" si="46"/>
        <v/>
      </c>
      <c r="N284" s="34" t="str">
        <f t="shared" si="47"/>
        <v/>
      </c>
      <c r="O284" s="34" t="str">
        <f t="shared" si="44"/>
        <v/>
      </c>
      <c r="P284" s="34" t="str">
        <f>IF(A284="","",IFERROR(VLOOKUP(A284,'表3（采购界面）'!A:J,10,0),"NA"))</f>
        <v/>
      </c>
      <c r="Q284" s="34" t="str">
        <f>IF(A284="","",IFERROR(VLOOKUP(A284,'表3（采购界面）'!A:Z,11,0),"NA"))</f>
        <v/>
      </c>
      <c r="R284" s="34" t="str">
        <f t="shared" si="48"/>
        <v/>
      </c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</row>
    <row r="285" spans="10:33" x14ac:dyDescent="0.2">
      <c r="J285" s="34"/>
      <c r="K285" s="34" t="str">
        <f t="shared" si="45"/>
        <v/>
      </c>
      <c r="L285" s="34" t="str">
        <f t="shared" si="43"/>
        <v/>
      </c>
      <c r="M285" s="34" t="str">
        <f t="shared" si="46"/>
        <v/>
      </c>
      <c r="N285" s="34" t="str">
        <f t="shared" si="47"/>
        <v/>
      </c>
      <c r="O285" s="34" t="str">
        <f t="shared" si="44"/>
        <v/>
      </c>
      <c r="P285" s="34" t="str">
        <f>IF(A285="","",IFERROR(VLOOKUP(A285,'表3（采购界面）'!A:J,10,0),"NA"))</f>
        <v/>
      </c>
      <c r="Q285" s="34" t="str">
        <f>IF(A285="","",IFERROR(VLOOKUP(A285,'表3（采购界面）'!A:Z,11,0),"NA"))</f>
        <v/>
      </c>
      <c r="R285" s="34" t="str">
        <f t="shared" si="48"/>
        <v/>
      </c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</row>
    <row r="286" spans="10:33" x14ac:dyDescent="0.2">
      <c r="J286" s="34"/>
      <c r="K286" s="34" t="str">
        <f t="shared" si="45"/>
        <v/>
      </c>
      <c r="L286" s="34" t="str">
        <f t="shared" si="43"/>
        <v/>
      </c>
      <c r="M286" s="34" t="str">
        <f t="shared" si="46"/>
        <v/>
      </c>
      <c r="N286" s="34" t="str">
        <f t="shared" si="47"/>
        <v/>
      </c>
      <c r="O286" s="34" t="str">
        <f t="shared" si="44"/>
        <v/>
      </c>
      <c r="P286" s="34" t="str">
        <f>IF(A286="","",IFERROR(VLOOKUP(A286,'表3（采购界面）'!A:J,10,0),"NA"))</f>
        <v/>
      </c>
      <c r="Q286" s="34" t="str">
        <f>IF(A286="","",IFERROR(VLOOKUP(A286,'表3（采购界面）'!A:Z,11,0),"NA"))</f>
        <v/>
      </c>
      <c r="R286" s="34" t="str">
        <f t="shared" si="48"/>
        <v/>
      </c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</row>
    <row r="287" spans="10:33" x14ac:dyDescent="0.2">
      <c r="J287" s="34"/>
      <c r="K287" s="34" t="str">
        <f t="shared" si="45"/>
        <v/>
      </c>
      <c r="L287" s="34" t="str">
        <f t="shared" si="43"/>
        <v/>
      </c>
      <c r="M287" s="34" t="str">
        <f t="shared" si="46"/>
        <v/>
      </c>
      <c r="N287" s="34" t="str">
        <f t="shared" si="47"/>
        <v/>
      </c>
      <c r="O287" s="34" t="str">
        <f t="shared" si="44"/>
        <v/>
      </c>
      <c r="P287" s="34" t="str">
        <f>IF(A287="","",IFERROR(VLOOKUP(A287,'表3（采购界面）'!A:J,10,0),"NA"))</f>
        <v/>
      </c>
      <c r="Q287" s="34" t="str">
        <f>IF(A287="","",IFERROR(VLOOKUP(A287,'表3（采购界面）'!A:Z,11,0),"NA"))</f>
        <v/>
      </c>
      <c r="R287" s="34" t="str">
        <f t="shared" si="48"/>
        <v/>
      </c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</row>
    <row r="288" spans="10:33" x14ac:dyDescent="0.2">
      <c r="J288" s="34"/>
      <c r="K288" s="34" t="str">
        <f t="shared" si="45"/>
        <v/>
      </c>
      <c r="L288" s="34" t="str">
        <f t="shared" si="43"/>
        <v/>
      </c>
      <c r="M288" s="34" t="str">
        <f t="shared" si="46"/>
        <v/>
      </c>
      <c r="N288" s="34" t="str">
        <f t="shared" si="47"/>
        <v/>
      </c>
      <c r="O288" s="34" t="str">
        <f t="shared" si="44"/>
        <v/>
      </c>
      <c r="P288" s="34" t="str">
        <f>IF(A288="","",IFERROR(VLOOKUP(A288,'表3（采购界面）'!A:J,10,0),"NA"))</f>
        <v/>
      </c>
      <c r="Q288" s="34" t="str">
        <f>IF(A288="","",IFERROR(VLOOKUP(A288,'表3（采购界面）'!A:Z,11,0),"NA"))</f>
        <v/>
      </c>
      <c r="R288" s="34" t="str">
        <f t="shared" si="48"/>
        <v/>
      </c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</row>
    <row r="289" spans="10:33" x14ac:dyDescent="0.2">
      <c r="J289" s="34"/>
      <c r="K289" s="34" t="str">
        <f t="shared" si="45"/>
        <v/>
      </c>
      <c r="L289" s="34" t="str">
        <f t="shared" si="43"/>
        <v/>
      </c>
      <c r="M289" s="34" t="str">
        <f t="shared" si="46"/>
        <v/>
      </c>
      <c r="N289" s="34" t="str">
        <f t="shared" si="47"/>
        <v/>
      </c>
      <c r="O289" s="34" t="str">
        <f t="shared" si="44"/>
        <v/>
      </c>
      <c r="P289" s="34" t="str">
        <f>IF(A289="","",IFERROR(VLOOKUP(A289,'表3（采购界面）'!A:J,10,0),"NA"))</f>
        <v/>
      </c>
      <c r="Q289" s="34" t="str">
        <f>IF(A289="","",IFERROR(VLOOKUP(A289,'表3（采购界面）'!A:Z,11,0),"NA"))</f>
        <v/>
      </c>
      <c r="R289" s="34" t="str">
        <f t="shared" si="48"/>
        <v/>
      </c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</row>
    <row r="290" spans="10:33" x14ac:dyDescent="0.2">
      <c r="J290" s="34"/>
      <c r="K290" s="34" t="str">
        <f t="shared" si="45"/>
        <v/>
      </c>
      <c r="L290" s="34" t="str">
        <f t="shared" si="43"/>
        <v/>
      </c>
      <c r="M290" s="34" t="str">
        <f t="shared" si="46"/>
        <v/>
      </c>
      <c r="N290" s="34" t="str">
        <f t="shared" si="47"/>
        <v/>
      </c>
      <c r="O290" s="34" t="str">
        <f t="shared" si="44"/>
        <v/>
      </c>
      <c r="P290" s="34" t="str">
        <f>IF(A290="","",IFERROR(VLOOKUP(A290,'表3（采购界面）'!A:J,10,0),"NA"))</f>
        <v/>
      </c>
      <c r="Q290" s="34" t="str">
        <f>IF(A290="","",IFERROR(VLOOKUP(A290,'表3（采购界面）'!A:Z,11,0),"NA"))</f>
        <v/>
      </c>
      <c r="R290" s="34" t="str">
        <f t="shared" si="48"/>
        <v/>
      </c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</row>
    <row r="291" spans="10:33" x14ac:dyDescent="0.2">
      <c r="J291" s="34"/>
      <c r="K291" s="34" t="str">
        <f t="shared" si="45"/>
        <v/>
      </c>
      <c r="L291" s="34" t="str">
        <f t="shared" si="43"/>
        <v/>
      </c>
      <c r="M291" s="34" t="str">
        <f t="shared" si="46"/>
        <v/>
      </c>
      <c r="N291" s="34" t="str">
        <f t="shared" si="47"/>
        <v/>
      </c>
      <c r="O291" s="34" t="str">
        <f t="shared" si="44"/>
        <v/>
      </c>
      <c r="P291" s="34" t="str">
        <f>IF(A291="","",IFERROR(VLOOKUP(A291,'表3（采购界面）'!A:J,10,0),"NA"))</f>
        <v/>
      </c>
      <c r="Q291" s="34" t="str">
        <f>IF(A291="","",IFERROR(VLOOKUP(A291,'表3（采购界面）'!A:Z,11,0),"NA"))</f>
        <v/>
      </c>
      <c r="R291" s="34" t="str">
        <f t="shared" si="48"/>
        <v/>
      </c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</row>
    <row r="292" spans="10:33" x14ac:dyDescent="0.2">
      <c r="J292" s="34"/>
      <c r="K292" s="34" t="str">
        <f t="shared" si="45"/>
        <v/>
      </c>
      <c r="L292" s="34" t="str">
        <f t="shared" si="43"/>
        <v/>
      </c>
      <c r="M292" s="34" t="str">
        <f t="shared" si="46"/>
        <v/>
      </c>
      <c r="N292" s="34" t="str">
        <f t="shared" si="47"/>
        <v/>
      </c>
      <c r="O292" s="34" t="str">
        <f t="shared" si="44"/>
        <v/>
      </c>
      <c r="P292" s="34" t="str">
        <f>IF(A292="","",IFERROR(VLOOKUP(A292,'表3（采购界面）'!A:J,10,0),"NA"))</f>
        <v/>
      </c>
      <c r="Q292" s="34" t="str">
        <f>IF(A292="","",IFERROR(VLOOKUP(A292,'表3（采购界面）'!A:Z,11,0),"NA"))</f>
        <v/>
      </c>
      <c r="R292" s="34" t="str">
        <f t="shared" si="48"/>
        <v/>
      </c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</row>
    <row r="293" spans="10:33" x14ac:dyDescent="0.2">
      <c r="J293" s="34"/>
      <c r="K293" s="34" t="str">
        <f t="shared" si="45"/>
        <v/>
      </c>
      <c r="L293" s="34" t="str">
        <f t="shared" si="43"/>
        <v/>
      </c>
      <c r="M293" s="34" t="str">
        <f t="shared" si="46"/>
        <v/>
      </c>
      <c r="N293" s="34" t="str">
        <f t="shared" si="47"/>
        <v/>
      </c>
      <c r="O293" s="34" t="str">
        <f t="shared" si="44"/>
        <v/>
      </c>
      <c r="P293" s="34" t="str">
        <f>IF(A293="","",IFERROR(VLOOKUP(A293,'表3（采购界面）'!A:J,10,0),"NA"))</f>
        <v/>
      </c>
      <c r="Q293" s="34" t="str">
        <f>IF(A293="","",IFERROR(VLOOKUP(A293,'表3（采购界面）'!A:Z,11,0),"NA"))</f>
        <v/>
      </c>
      <c r="R293" s="34" t="str">
        <f t="shared" si="48"/>
        <v/>
      </c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</row>
    <row r="294" spans="10:33" x14ac:dyDescent="0.2">
      <c r="J294" s="34"/>
      <c r="K294" s="34" t="str">
        <f t="shared" si="45"/>
        <v/>
      </c>
      <c r="L294" s="34" t="str">
        <f t="shared" si="43"/>
        <v/>
      </c>
      <c r="M294" s="34" t="str">
        <f t="shared" si="46"/>
        <v/>
      </c>
      <c r="N294" s="34" t="str">
        <f t="shared" si="47"/>
        <v/>
      </c>
      <c r="O294" s="34" t="str">
        <f t="shared" si="44"/>
        <v/>
      </c>
      <c r="P294" s="34" t="str">
        <f>IF(A294="","",IFERROR(VLOOKUP(A294,'表3（采购界面）'!A:J,10,0),"NA"))</f>
        <v/>
      </c>
      <c r="Q294" s="34" t="str">
        <f>IF(A294="","",IFERROR(VLOOKUP(A294,'表3（采购界面）'!A:Z,11,0),"NA"))</f>
        <v/>
      </c>
      <c r="R294" s="34" t="str">
        <f t="shared" si="48"/>
        <v/>
      </c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</row>
    <row r="295" spans="10:33" x14ac:dyDescent="0.2">
      <c r="J295" s="34"/>
      <c r="K295" s="34" t="str">
        <f t="shared" si="45"/>
        <v/>
      </c>
      <c r="L295" s="34" t="str">
        <f t="shared" si="43"/>
        <v/>
      </c>
      <c r="M295" s="34" t="str">
        <f t="shared" si="46"/>
        <v/>
      </c>
      <c r="N295" s="34" t="str">
        <f t="shared" si="47"/>
        <v/>
      </c>
      <c r="O295" s="34" t="str">
        <f t="shared" si="44"/>
        <v/>
      </c>
      <c r="P295" s="34" t="str">
        <f>IF(A295="","",IFERROR(VLOOKUP(A295,'表3（采购界面）'!A:J,10,0),"NA"))</f>
        <v/>
      </c>
      <c r="Q295" s="34" t="str">
        <f>IF(A295="","",IFERROR(VLOOKUP(A295,'表3（采购界面）'!A:Z,11,0),"NA"))</f>
        <v/>
      </c>
      <c r="R295" s="34" t="str">
        <f t="shared" si="48"/>
        <v/>
      </c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</row>
    <row r="296" spans="10:33" x14ac:dyDescent="0.2">
      <c r="J296" s="34"/>
      <c r="K296" s="34" t="str">
        <f t="shared" si="45"/>
        <v/>
      </c>
      <c r="L296" s="34" t="str">
        <f t="shared" si="43"/>
        <v/>
      </c>
      <c r="M296" s="34" t="str">
        <f t="shared" si="46"/>
        <v/>
      </c>
      <c r="N296" s="34" t="str">
        <f t="shared" si="47"/>
        <v/>
      </c>
      <c r="O296" s="34" t="str">
        <f t="shared" si="44"/>
        <v/>
      </c>
      <c r="P296" s="34" t="str">
        <f>IF(A296="","",IFERROR(VLOOKUP(A296,'表3（采购界面）'!A:J,10,0),"NA"))</f>
        <v/>
      </c>
      <c r="Q296" s="34" t="str">
        <f>IF(A296="","",IFERROR(VLOOKUP(A296,'表3（采购界面）'!A:Z,11,0),"NA"))</f>
        <v/>
      </c>
      <c r="R296" s="34" t="str">
        <f t="shared" si="48"/>
        <v/>
      </c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</row>
    <row r="297" spans="10:33" x14ac:dyDescent="0.2">
      <c r="J297" s="34"/>
      <c r="K297" s="34" t="str">
        <f t="shared" si="45"/>
        <v/>
      </c>
      <c r="L297" s="34" t="str">
        <f t="shared" si="43"/>
        <v/>
      </c>
      <c r="M297" s="34" t="str">
        <f t="shared" si="46"/>
        <v/>
      </c>
      <c r="N297" s="34" t="str">
        <f t="shared" si="47"/>
        <v/>
      </c>
      <c r="O297" s="34" t="str">
        <f t="shared" si="44"/>
        <v/>
      </c>
      <c r="P297" s="34" t="str">
        <f>IF(A297="","",IFERROR(VLOOKUP(A297,'表3（采购界面）'!A:J,10,0),"NA"))</f>
        <v/>
      </c>
      <c r="Q297" s="34" t="str">
        <f>IF(A297="","",IFERROR(VLOOKUP(A297,'表3（采购界面）'!A:Z,11,0),"NA"))</f>
        <v/>
      </c>
      <c r="R297" s="34" t="str">
        <f t="shared" si="48"/>
        <v/>
      </c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</row>
    <row r="298" spans="10:33" x14ac:dyDescent="0.2">
      <c r="J298" s="34"/>
      <c r="K298" s="34" t="str">
        <f t="shared" si="45"/>
        <v/>
      </c>
      <c r="L298" s="34" t="str">
        <f t="shared" si="43"/>
        <v/>
      </c>
      <c r="M298" s="34" t="str">
        <f t="shared" si="46"/>
        <v/>
      </c>
      <c r="N298" s="34" t="str">
        <f t="shared" si="47"/>
        <v/>
      </c>
      <c r="O298" s="34" t="str">
        <f t="shared" si="44"/>
        <v/>
      </c>
      <c r="P298" s="34" t="str">
        <f>IF(A298="","",IFERROR(VLOOKUP(A298,'表3（采购界面）'!A:J,10,0),"NA"))</f>
        <v/>
      </c>
      <c r="Q298" s="34" t="str">
        <f>IF(A298="","",IFERROR(VLOOKUP(A298,'表3（采购界面）'!A:Z,11,0),"NA"))</f>
        <v/>
      </c>
      <c r="R298" s="34" t="str">
        <f t="shared" si="48"/>
        <v/>
      </c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</row>
    <row r="299" spans="10:33" x14ac:dyDescent="0.2">
      <c r="J299" s="34"/>
      <c r="K299" s="34" t="str">
        <f t="shared" si="45"/>
        <v/>
      </c>
      <c r="L299" s="34" t="str">
        <f t="shared" si="43"/>
        <v/>
      </c>
      <c r="M299" s="34" t="str">
        <f t="shared" si="46"/>
        <v/>
      </c>
      <c r="N299" s="34" t="str">
        <f t="shared" si="47"/>
        <v/>
      </c>
      <c r="O299" s="34" t="str">
        <f t="shared" si="44"/>
        <v/>
      </c>
      <c r="P299" s="34" t="str">
        <f>IF(A299="","",IFERROR(VLOOKUP(A299,'表3（采购界面）'!A:J,10,0),"NA"))</f>
        <v/>
      </c>
      <c r="Q299" s="34" t="str">
        <f>IF(A299="","",IFERROR(VLOOKUP(A299,'表3（采购界面）'!A:Z,11,0),"NA"))</f>
        <v/>
      </c>
      <c r="R299" s="34" t="str">
        <f t="shared" si="48"/>
        <v/>
      </c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</row>
    <row r="300" spans="10:33" x14ac:dyDescent="0.2">
      <c r="J300" s="34"/>
      <c r="K300" s="34" t="str">
        <f t="shared" si="45"/>
        <v/>
      </c>
      <c r="L300" s="34" t="str">
        <f t="shared" si="43"/>
        <v/>
      </c>
      <c r="M300" s="34" t="str">
        <f t="shared" si="46"/>
        <v/>
      </c>
      <c r="N300" s="34" t="str">
        <f t="shared" si="47"/>
        <v/>
      </c>
      <c r="O300" s="34" t="str">
        <f t="shared" si="44"/>
        <v/>
      </c>
      <c r="P300" s="34" t="str">
        <f>IF(A300="","",IFERROR(VLOOKUP(A300,'表3（采购界面）'!A:J,10,0),"NA"))</f>
        <v/>
      </c>
      <c r="Q300" s="34" t="str">
        <f>IF(A300="","",IFERROR(VLOOKUP(A300,'表3（采购界面）'!A:Z,11,0),"NA"))</f>
        <v/>
      </c>
      <c r="R300" s="34" t="str">
        <f t="shared" si="48"/>
        <v/>
      </c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</row>
    <row r="301" spans="10:33" x14ac:dyDescent="0.2">
      <c r="J301" s="34"/>
      <c r="K301" s="34" t="str">
        <f t="shared" si="45"/>
        <v/>
      </c>
      <c r="L301" s="34" t="str">
        <f t="shared" si="43"/>
        <v/>
      </c>
      <c r="M301" s="34" t="str">
        <f t="shared" si="46"/>
        <v/>
      </c>
      <c r="N301" s="34" t="str">
        <f t="shared" si="47"/>
        <v/>
      </c>
      <c r="O301" s="34" t="str">
        <f t="shared" si="44"/>
        <v/>
      </c>
      <c r="P301" s="34" t="str">
        <f>IF(A301="","",IFERROR(VLOOKUP(A301,'表3（采购界面）'!A:J,10,0),"NA"))</f>
        <v/>
      </c>
      <c r="Q301" s="34" t="str">
        <f>IF(A301="","",IFERROR(VLOOKUP(A301,'表3（采购界面）'!A:Z,11,0),"NA"))</f>
        <v/>
      </c>
      <c r="R301" s="34" t="str">
        <f t="shared" si="48"/>
        <v/>
      </c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</row>
    <row r="302" spans="10:33" x14ac:dyDescent="0.2">
      <c r="J302" s="34"/>
      <c r="K302" s="34" t="str">
        <f t="shared" si="45"/>
        <v/>
      </c>
      <c r="L302" s="34" t="str">
        <f t="shared" si="43"/>
        <v/>
      </c>
      <c r="M302" s="34" t="str">
        <f t="shared" si="46"/>
        <v/>
      </c>
      <c r="N302" s="34" t="str">
        <f t="shared" si="47"/>
        <v/>
      </c>
      <c r="O302" s="34" t="str">
        <f t="shared" si="44"/>
        <v/>
      </c>
      <c r="P302" s="34" t="str">
        <f>IF(A302="","",IFERROR(VLOOKUP(A302,'表3（采购界面）'!A:J,10,0),"NA"))</f>
        <v/>
      </c>
      <c r="Q302" s="34" t="str">
        <f>IF(A302="","",IFERROR(VLOOKUP(A302,'表3（采购界面）'!A:Z,11,0),"NA"))</f>
        <v/>
      </c>
      <c r="R302" s="34" t="str">
        <f t="shared" si="48"/>
        <v/>
      </c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</row>
    <row r="303" spans="10:33" x14ac:dyDescent="0.2">
      <c r="J303" s="34"/>
      <c r="K303" s="34" t="str">
        <f t="shared" si="45"/>
        <v/>
      </c>
      <c r="L303" s="34" t="str">
        <f t="shared" si="43"/>
        <v/>
      </c>
      <c r="M303" s="34" t="str">
        <f t="shared" si="46"/>
        <v/>
      </c>
      <c r="N303" s="34" t="str">
        <f t="shared" si="47"/>
        <v/>
      </c>
      <c r="O303" s="34" t="str">
        <f t="shared" si="44"/>
        <v/>
      </c>
      <c r="P303" s="34" t="str">
        <f>IF(A303="","",IFERROR(VLOOKUP(A303,'表3（采购界面）'!A:J,10,0),"NA"))</f>
        <v/>
      </c>
      <c r="Q303" s="34" t="str">
        <f>IF(A303="","",IFERROR(VLOOKUP(A303,'表3（采购界面）'!A:Z,11,0),"NA"))</f>
        <v/>
      </c>
      <c r="R303" s="34" t="str">
        <f t="shared" si="48"/>
        <v/>
      </c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</row>
    <row r="304" spans="10:33" x14ac:dyDescent="0.2">
      <c r="J304" s="34"/>
      <c r="K304" s="34" t="str">
        <f t="shared" si="45"/>
        <v/>
      </c>
      <c r="L304" s="34" t="str">
        <f t="shared" si="43"/>
        <v/>
      </c>
      <c r="M304" s="34" t="str">
        <f t="shared" si="46"/>
        <v/>
      </c>
      <c r="N304" s="34" t="str">
        <f t="shared" si="47"/>
        <v/>
      </c>
      <c r="O304" s="34" t="str">
        <f t="shared" si="44"/>
        <v/>
      </c>
      <c r="P304" s="34" t="str">
        <f>IF(A304="","",IFERROR(VLOOKUP(A304,'表3（采购界面）'!A:J,10,0),"NA"))</f>
        <v/>
      </c>
      <c r="Q304" s="34" t="str">
        <f>IF(A304="","",IFERROR(VLOOKUP(A304,'表3（采购界面）'!A:Z,11,0),"NA"))</f>
        <v/>
      </c>
      <c r="R304" s="34" t="str">
        <f t="shared" si="48"/>
        <v/>
      </c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</row>
    <row r="305" spans="10:33" x14ac:dyDescent="0.2">
      <c r="J305" s="34"/>
      <c r="K305" s="34" t="str">
        <f t="shared" si="45"/>
        <v/>
      </c>
      <c r="L305" s="34" t="str">
        <f t="shared" si="43"/>
        <v/>
      </c>
      <c r="M305" s="34" t="str">
        <f t="shared" si="46"/>
        <v/>
      </c>
      <c r="N305" s="34" t="str">
        <f t="shared" si="47"/>
        <v/>
      </c>
      <c r="O305" s="34" t="str">
        <f t="shared" si="44"/>
        <v/>
      </c>
      <c r="P305" s="34" t="str">
        <f>IF(A305="","",IFERROR(VLOOKUP(A305,'表3（采购界面）'!A:J,10,0),"NA"))</f>
        <v/>
      </c>
      <c r="Q305" s="34" t="str">
        <f>IF(A305="","",IFERROR(VLOOKUP(A305,'表3（采购界面）'!A:Z,11,0),"NA"))</f>
        <v/>
      </c>
      <c r="R305" s="34" t="str">
        <f t="shared" si="48"/>
        <v/>
      </c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</row>
    <row r="306" spans="10:33" x14ac:dyDescent="0.2">
      <c r="J306" s="34"/>
      <c r="K306" s="34" t="str">
        <f t="shared" si="45"/>
        <v/>
      </c>
      <c r="L306" s="34" t="str">
        <f t="shared" si="43"/>
        <v/>
      </c>
      <c r="M306" s="34" t="str">
        <f t="shared" si="46"/>
        <v/>
      </c>
      <c r="N306" s="34" t="str">
        <f t="shared" si="47"/>
        <v/>
      </c>
      <c r="O306" s="34" t="str">
        <f t="shared" si="44"/>
        <v/>
      </c>
      <c r="P306" s="34" t="str">
        <f>IF(A306="","",IFERROR(VLOOKUP(A306,'表3（采购界面）'!A:J,10,0),"NA"))</f>
        <v/>
      </c>
      <c r="Q306" s="34" t="str">
        <f>IF(A306="","",IFERROR(VLOOKUP(A306,'表3（采购界面）'!A:Z,11,0),"NA"))</f>
        <v/>
      </c>
      <c r="R306" s="34" t="str">
        <f t="shared" si="48"/>
        <v/>
      </c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</row>
    <row r="307" spans="10:33" x14ac:dyDescent="0.2">
      <c r="J307" s="34"/>
      <c r="K307" s="34" t="str">
        <f t="shared" si="45"/>
        <v/>
      </c>
      <c r="L307" s="34" t="str">
        <f t="shared" si="43"/>
        <v/>
      </c>
      <c r="M307" s="34" t="str">
        <f t="shared" si="46"/>
        <v/>
      </c>
      <c r="N307" s="34" t="str">
        <f t="shared" si="47"/>
        <v/>
      </c>
      <c r="O307" s="34" t="str">
        <f t="shared" si="44"/>
        <v/>
      </c>
      <c r="P307" s="34" t="str">
        <f>IF(A307="","",IFERROR(VLOOKUP(A307,'表3（采购界面）'!A:J,10,0),"NA"))</f>
        <v/>
      </c>
      <c r="Q307" s="34" t="str">
        <f>IF(A307="","",IFERROR(VLOOKUP(A307,'表3（采购界面）'!A:Z,11,0),"NA"))</f>
        <v/>
      </c>
      <c r="R307" s="34" t="str">
        <f t="shared" si="48"/>
        <v/>
      </c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</row>
    <row r="308" spans="10:33" x14ac:dyDescent="0.2">
      <c r="J308" s="34"/>
      <c r="K308" s="34" t="str">
        <f t="shared" si="45"/>
        <v/>
      </c>
      <c r="L308" s="34" t="str">
        <f t="shared" si="43"/>
        <v/>
      </c>
      <c r="M308" s="34" t="str">
        <f t="shared" si="46"/>
        <v/>
      </c>
      <c r="N308" s="34" t="str">
        <f t="shared" si="47"/>
        <v/>
      </c>
      <c r="O308" s="34" t="str">
        <f t="shared" si="44"/>
        <v/>
      </c>
      <c r="P308" s="34" t="str">
        <f>IF(A308="","",IFERROR(VLOOKUP(A308,'表3（采购界面）'!A:J,10,0),"NA"))</f>
        <v/>
      </c>
      <c r="Q308" s="34" t="str">
        <f>IF(A308="","",IFERROR(VLOOKUP(A308,'表3（采购界面）'!A:Z,11,0),"NA"))</f>
        <v/>
      </c>
      <c r="R308" s="34" t="str">
        <f t="shared" si="48"/>
        <v/>
      </c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</row>
    <row r="309" spans="10:33" x14ac:dyDescent="0.2">
      <c r="J309" s="34"/>
      <c r="K309" s="34" t="str">
        <f t="shared" si="45"/>
        <v/>
      </c>
      <c r="L309" s="34" t="str">
        <f t="shared" si="43"/>
        <v/>
      </c>
      <c r="M309" s="34" t="str">
        <f t="shared" si="46"/>
        <v/>
      </c>
      <c r="N309" s="34" t="str">
        <f t="shared" si="47"/>
        <v/>
      </c>
      <c r="O309" s="34" t="str">
        <f t="shared" si="44"/>
        <v/>
      </c>
      <c r="P309" s="34" t="str">
        <f>IF(A309="","",IFERROR(VLOOKUP(A309,'表3（采购界面）'!A:J,10,0),"NA"))</f>
        <v/>
      </c>
      <c r="Q309" s="34" t="str">
        <f>IF(A309="","",IFERROR(VLOOKUP(A309,'表3（采购界面）'!A:Z,11,0),"NA"))</f>
        <v/>
      </c>
      <c r="R309" s="34" t="str">
        <f t="shared" si="48"/>
        <v/>
      </c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</row>
    <row r="310" spans="10:33" x14ac:dyDescent="0.2">
      <c r="J310" s="34"/>
      <c r="K310" s="34" t="str">
        <f t="shared" si="45"/>
        <v/>
      </c>
      <c r="L310" s="34" t="str">
        <f t="shared" si="43"/>
        <v/>
      </c>
      <c r="M310" s="34" t="str">
        <f t="shared" si="46"/>
        <v/>
      </c>
      <c r="N310" s="34" t="str">
        <f t="shared" si="47"/>
        <v/>
      </c>
      <c r="O310" s="34" t="str">
        <f t="shared" si="44"/>
        <v/>
      </c>
      <c r="P310" s="34" t="str">
        <f>IF(A310="","",IFERROR(VLOOKUP(A310,'表3（采购界面）'!A:J,10,0),"NA"))</f>
        <v/>
      </c>
      <c r="Q310" s="34" t="str">
        <f>IF(A310="","",IFERROR(VLOOKUP(A310,'表3（采购界面）'!A:Z,11,0),"NA"))</f>
        <v/>
      </c>
      <c r="R310" s="34" t="str">
        <f t="shared" si="48"/>
        <v/>
      </c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</row>
    <row r="311" spans="10:33" x14ac:dyDescent="0.2">
      <c r="J311" s="34"/>
      <c r="K311" s="34" t="str">
        <f t="shared" si="45"/>
        <v/>
      </c>
      <c r="L311" s="34" t="str">
        <f t="shared" si="43"/>
        <v/>
      </c>
      <c r="M311" s="34" t="str">
        <f t="shared" si="46"/>
        <v/>
      </c>
      <c r="N311" s="34" t="str">
        <f t="shared" si="47"/>
        <v/>
      </c>
      <c r="O311" s="34" t="str">
        <f t="shared" si="44"/>
        <v/>
      </c>
      <c r="P311" s="34" t="str">
        <f>IF(A311="","",IFERROR(VLOOKUP(A311,'表3（采购界面）'!A:J,10,0),"NA"))</f>
        <v/>
      </c>
      <c r="Q311" s="34" t="str">
        <f>IF(A311="","",IFERROR(VLOOKUP(A311,'表3（采购界面）'!A:Z,11,0),"NA"))</f>
        <v/>
      </c>
      <c r="R311" s="34" t="str">
        <f t="shared" si="48"/>
        <v/>
      </c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</row>
    <row r="312" spans="10:33" x14ac:dyDescent="0.2">
      <c r="J312" s="34"/>
      <c r="K312" s="34" t="str">
        <f t="shared" si="45"/>
        <v/>
      </c>
      <c r="L312" s="34" t="str">
        <f t="shared" si="43"/>
        <v/>
      </c>
      <c r="M312" s="34" t="str">
        <f t="shared" si="46"/>
        <v/>
      </c>
      <c r="N312" s="34" t="str">
        <f t="shared" si="47"/>
        <v/>
      </c>
      <c r="O312" s="34" t="str">
        <f t="shared" si="44"/>
        <v/>
      </c>
      <c r="P312" s="34" t="str">
        <f>IF(A312="","",IFERROR(VLOOKUP(A312,'表3（采购界面）'!A:J,10,0),"NA"))</f>
        <v/>
      </c>
      <c r="Q312" s="34" t="str">
        <f>IF(A312="","",IFERROR(VLOOKUP(A312,'表3（采购界面）'!A:Z,11,0),"NA"))</f>
        <v/>
      </c>
      <c r="R312" s="34" t="str">
        <f t="shared" si="48"/>
        <v/>
      </c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</row>
    <row r="313" spans="10:33" x14ac:dyDescent="0.2">
      <c r="J313" s="34"/>
      <c r="K313" s="34" t="str">
        <f t="shared" si="45"/>
        <v/>
      </c>
      <c r="L313" s="34" t="str">
        <f t="shared" si="43"/>
        <v/>
      </c>
      <c r="M313" s="34" t="str">
        <f t="shared" si="46"/>
        <v/>
      </c>
      <c r="N313" s="34" t="str">
        <f t="shared" si="47"/>
        <v/>
      </c>
      <c r="O313" s="34" t="str">
        <f t="shared" si="44"/>
        <v/>
      </c>
      <c r="P313" s="34" t="str">
        <f>IF(A313="","",IFERROR(VLOOKUP(A313,'表3（采购界面）'!A:J,10,0),"NA"))</f>
        <v/>
      </c>
      <c r="Q313" s="34" t="str">
        <f>IF(A313="","",IFERROR(VLOOKUP(A313,'表3（采购界面）'!A:Z,11,0),"NA"))</f>
        <v/>
      </c>
      <c r="R313" s="34" t="str">
        <f t="shared" si="48"/>
        <v/>
      </c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</row>
    <row r="314" spans="10:33" x14ac:dyDescent="0.2">
      <c r="J314" s="34"/>
      <c r="K314" s="34" t="str">
        <f t="shared" si="45"/>
        <v/>
      </c>
      <c r="L314" s="34" t="str">
        <f t="shared" si="43"/>
        <v/>
      </c>
      <c r="M314" s="34" t="str">
        <f t="shared" si="46"/>
        <v/>
      </c>
      <c r="N314" s="34" t="str">
        <f t="shared" si="47"/>
        <v/>
      </c>
      <c r="O314" s="34" t="str">
        <f t="shared" si="44"/>
        <v/>
      </c>
      <c r="P314" s="34" t="str">
        <f>IF(A314="","",IFERROR(VLOOKUP(A314,'表3（采购界面）'!A:J,10,0),"NA"))</f>
        <v/>
      </c>
      <c r="Q314" s="34" t="str">
        <f>IF(A314="","",IFERROR(VLOOKUP(A314,'表3（采购界面）'!A:Z,11,0),"NA"))</f>
        <v/>
      </c>
      <c r="R314" s="34" t="str">
        <f t="shared" si="48"/>
        <v/>
      </c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</row>
    <row r="315" spans="10:33" x14ac:dyDescent="0.2">
      <c r="J315" s="34"/>
      <c r="K315" s="34" t="str">
        <f t="shared" si="45"/>
        <v/>
      </c>
      <c r="L315" s="34" t="str">
        <f t="shared" si="43"/>
        <v/>
      </c>
      <c r="M315" s="34" t="str">
        <f t="shared" si="46"/>
        <v/>
      </c>
      <c r="N315" s="34" t="str">
        <f t="shared" si="47"/>
        <v/>
      </c>
      <c r="O315" s="34" t="str">
        <f t="shared" si="44"/>
        <v/>
      </c>
      <c r="P315" s="34" t="str">
        <f>IF(A315="","",IFERROR(VLOOKUP(A315,'表3（采购界面）'!A:J,10,0),"NA"))</f>
        <v/>
      </c>
      <c r="Q315" s="34" t="str">
        <f>IF(A315="","",IFERROR(VLOOKUP(A315,'表3（采购界面）'!A:Z,11,0),"NA"))</f>
        <v/>
      </c>
      <c r="R315" s="34" t="str">
        <f t="shared" si="48"/>
        <v/>
      </c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</row>
    <row r="316" spans="10:33" x14ac:dyDescent="0.2">
      <c r="J316" s="34"/>
      <c r="K316" s="34" t="str">
        <f t="shared" si="45"/>
        <v/>
      </c>
      <c r="L316" s="34" t="str">
        <f t="shared" si="43"/>
        <v/>
      </c>
      <c r="M316" s="34" t="str">
        <f t="shared" si="46"/>
        <v/>
      </c>
      <c r="N316" s="34" t="str">
        <f t="shared" si="47"/>
        <v/>
      </c>
      <c r="O316" s="34" t="str">
        <f t="shared" si="44"/>
        <v/>
      </c>
      <c r="P316" s="34" t="str">
        <f>IF(A316="","",IFERROR(VLOOKUP(A316,'表3（采购界面）'!A:J,10,0),"NA"))</f>
        <v/>
      </c>
      <c r="Q316" s="34" t="str">
        <f>IF(A316="","",IFERROR(VLOOKUP(A316,'表3（采购界面）'!A:Z,11,0),"NA"))</f>
        <v/>
      </c>
      <c r="R316" s="34" t="str">
        <f t="shared" si="48"/>
        <v/>
      </c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</row>
    <row r="317" spans="10:33" x14ac:dyDescent="0.2">
      <c r="J317" s="34"/>
      <c r="K317" s="34" t="str">
        <f t="shared" si="45"/>
        <v/>
      </c>
      <c r="L317" s="34" t="str">
        <f t="shared" si="43"/>
        <v/>
      </c>
      <c r="M317" s="34" t="str">
        <f t="shared" si="46"/>
        <v/>
      </c>
      <c r="N317" s="34" t="str">
        <f t="shared" si="47"/>
        <v/>
      </c>
      <c r="O317" s="34" t="str">
        <f t="shared" si="44"/>
        <v/>
      </c>
      <c r="P317" s="34" t="str">
        <f>IF(A317="","",IFERROR(VLOOKUP(A317,'表3（采购界面）'!A:J,10,0),"NA"))</f>
        <v/>
      </c>
      <c r="Q317" s="34" t="str">
        <f>IF(A317="","",IFERROR(VLOOKUP(A317,'表3（采购界面）'!A:Z,11,0),"NA"))</f>
        <v/>
      </c>
      <c r="R317" s="34" t="str">
        <f t="shared" si="48"/>
        <v/>
      </c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</row>
    <row r="318" spans="10:33" x14ac:dyDescent="0.2">
      <c r="J318" s="34"/>
      <c r="K318" s="34" t="str">
        <f t="shared" si="45"/>
        <v/>
      </c>
      <c r="L318" s="34" t="str">
        <f t="shared" si="43"/>
        <v/>
      </c>
      <c r="M318" s="34" t="str">
        <f t="shared" si="46"/>
        <v/>
      </c>
      <c r="N318" s="34" t="str">
        <f t="shared" si="47"/>
        <v/>
      </c>
      <c r="O318" s="34" t="str">
        <f t="shared" si="44"/>
        <v/>
      </c>
      <c r="P318" s="34" t="str">
        <f>IF(A318="","",IFERROR(VLOOKUP(A318,'表3（采购界面）'!A:J,10,0),"NA"))</f>
        <v/>
      </c>
      <c r="Q318" s="34" t="str">
        <f>IF(A318="","",IFERROR(VLOOKUP(A318,'表3（采购界面）'!A:Z,11,0),"NA"))</f>
        <v/>
      </c>
      <c r="R318" s="34" t="str">
        <f t="shared" si="48"/>
        <v/>
      </c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</row>
    <row r="319" spans="10:33" x14ac:dyDescent="0.2">
      <c r="J319" s="34"/>
      <c r="K319" s="34" t="str">
        <f t="shared" si="45"/>
        <v/>
      </c>
      <c r="L319" s="34" t="str">
        <f t="shared" si="43"/>
        <v/>
      </c>
      <c r="M319" s="34" t="str">
        <f t="shared" si="46"/>
        <v/>
      </c>
      <c r="N319" s="34" t="str">
        <f t="shared" si="47"/>
        <v/>
      </c>
      <c r="O319" s="34" t="str">
        <f t="shared" si="44"/>
        <v/>
      </c>
      <c r="P319" s="34" t="str">
        <f>IF(A319="","",IFERROR(VLOOKUP(A319,'表3（采购界面）'!A:J,10,0),"NA"))</f>
        <v/>
      </c>
      <c r="Q319" s="34" t="str">
        <f>IF(A319="","",IFERROR(VLOOKUP(A319,'表3（采购界面）'!A:Z,11,0),"NA"))</f>
        <v/>
      </c>
      <c r="R319" s="34" t="str">
        <f t="shared" si="48"/>
        <v/>
      </c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</row>
    <row r="320" spans="10:33" x14ac:dyDescent="0.2">
      <c r="J320" s="34"/>
      <c r="K320" s="34" t="str">
        <f t="shared" si="45"/>
        <v/>
      </c>
      <c r="L320" s="34" t="str">
        <f t="shared" si="43"/>
        <v/>
      </c>
      <c r="M320" s="34" t="str">
        <f t="shared" si="46"/>
        <v/>
      </c>
      <c r="N320" s="34" t="str">
        <f t="shared" si="47"/>
        <v/>
      </c>
      <c r="O320" s="34" t="str">
        <f t="shared" si="44"/>
        <v/>
      </c>
      <c r="P320" s="34" t="str">
        <f>IF(A320="","",IFERROR(VLOOKUP(A320,'表3（采购界面）'!A:J,10,0),"NA"))</f>
        <v/>
      </c>
      <c r="Q320" s="34" t="str">
        <f>IF(A320="","",IFERROR(VLOOKUP(A320,'表3（采购界面）'!A:Z,11,0),"NA"))</f>
        <v/>
      </c>
      <c r="R320" s="34" t="str">
        <f t="shared" si="48"/>
        <v/>
      </c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</row>
    <row r="321" spans="10:33" x14ac:dyDescent="0.2">
      <c r="J321" s="34"/>
      <c r="K321" s="34" t="str">
        <f t="shared" si="45"/>
        <v/>
      </c>
      <c r="L321" s="34" t="str">
        <f t="shared" si="43"/>
        <v/>
      </c>
      <c r="M321" s="34" t="str">
        <f t="shared" si="46"/>
        <v/>
      </c>
      <c r="N321" s="34" t="str">
        <f t="shared" si="47"/>
        <v/>
      </c>
      <c r="O321" s="34" t="str">
        <f t="shared" si="44"/>
        <v/>
      </c>
      <c r="P321" s="34" t="str">
        <f>IF(A321="","",IFERROR(VLOOKUP(A321,'表3（采购界面）'!A:J,10,0),"NA"))</f>
        <v/>
      </c>
      <c r="Q321" s="34" t="str">
        <f>IF(A321="","",IFERROR(VLOOKUP(A321,'表3（采购界面）'!A:Z,11,0),"NA"))</f>
        <v/>
      </c>
      <c r="R321" s="34" t="str">
        <f t="shared" si="48"/>
        <v/>
      </c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</row>
    <row r="322" spans="10:33" x14ac:dyDescent="0.2">
      <c r="J322" s="34"/>
      <c r="K322" s="34" t="str">
        <f t="shared" si="45"/>
        <v/>
      </c>
      <c r="L322" s="34" t="str">
        <f t="shared" si="43"/>
        <v/>
      </c>
      <c r="M322" s="34" t="str">
        <f t="shared" si="46"/>
        <v/>
      </c>
      <c r="N322" s="34" t="str">
        <f t="shared" si="47"/>
        <v/>
      </c>
      <c r="O322" s="34" t="str">
        <f t="shared" si="44"/>
        <v/>
      </c>
      <c r="P322" s="34" t="str">
        <f>IF(A322="","",IFERROR(VLOOKUP(A322,'表3（采购界面）'!A:J,10,0),"NA"))</f>
        <v/>
      </c>
      <c r="Q322" s="34" t="str">
        <f>IF(A322="","",IFERROR(VLOOKUP(A322,'表3（采购界面）'!A:Z,11,0),"NA"))</f>
        <v/>
      </c>
      <c r="R322" s="34" t="str">
        <f t="shared" si="48"/>
        <v/>
      </c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</row>
    <row r="323" spans="10:33" x14ac:dyDescent="0.2">
      <c r="J323" s="34"/>
      <c r="K323" s="34" t="str">
        <f t="shared" si="45"/>
        <v/>
      </c>
      <c r="L323" s="34" t="str">
        <f t="shared" si="43"/>
        <v/>
      </c>
      <c r="M323" s="34" t="str">
        <f t="shared" si="46"/>
        <v/>
      </c>
      <c r="N323" s="34" t="str">
        <f t="shared" si="47"/>
        <v/>
      </c>
      <c r="O323" s="34" t="str">
        <f t="shared" si="44"/>
        <v/>
      </c>
      <c r="P323" s="34" t="str">
        <f>IF(A323="","",IFERROR(VLOOKUP(A323,'表3（采购界面）'!A:J,10,0),"NA"))</f>
        <v/>
      </c>
      <c r="Q323" s="34" t="str">
        <f>IF(A323="","",IFERROR(VLOOKUP(A323,'表3（采购界面）'!A:Z,11,0),"NA"))</f>
        <v/>
      </c>
      <c r="R323" s="34" t="str">
        <f t="shared" si="48"/>
        <v/>
      </c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</row>
    <row r="324" spans="10:33" x14ac:dyDescent="0.2">
      <c r="J324" s="34"/>
      <c r="K324" s="34" t="str">
        <f t="shared" si="45"/>
        <v/>
      </c>
      <c r="L324" s="34" t="str">
        <f t="shared" si="43"/>
        <v/>
      </c>
      <c r="M324" s="34" t="str">
        <f t="shared" si="46"/>
        <v/>
      </c>
      <c r="N324" s="34" t="str">
        <f t="shared" si="47"/>
        <v/>
      </c>
      <c r="O324" s="34" t="str">
        <f t="shared" si="44"/>
        <v/>
      </c>
      <c r="P324" s="34" t="str">
        <f>IF(A324="","",IFERROR(VLOOKUP(A324,'表3（采购界面）'!A:J,10,0),"NA"))</f>
        <v/>
      </c>
      <c r="Q324" s="34" t="str">
        <f>IF(A324="","",IFERROR(VLOOKUP(A324,'表3（采购界面）'!A:Z,11,0),"NA"))</f>
        <v/>
      </c>
      <c r="R324" s="34" t="str">
        <f t="shared" si="48"/>
        <v/>
      </c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</row>
    <row r="325" spans="10:33" x14ac:dyDescent="0.2">
      <c r="J325" s="34"/>
      <c r="K325" s="34" t="str">
        <f t="shared" si="45"/>
        <v/>
      </c>
      <c r="L325" s="34" t="str">
        <f t="shared" ref="L325:L388" si="49">_xlfn.IFS(LEFT(A325)="1","MB",LEFT(A325)="2","WB",LEFT(A325)="3","WB",AND(LEFT(A325)="4",D325&lt;&gt;"中国",J325&lt;&gt;"Y01"),"FX",A325&lt;&gt;"","EX",A325="","")</f>
        <v/>
      </c>
      <c r="M325" s="34" t="str">
        <f t="shared" si="46"/>
        <v/>
      </c>
      <c r="N325" s="34" t="str">
        <f t="shared" si="47"/>
        <v/>
      </c>
      <c r="O325" s="34" t="str">
        <f t="shared" ref="O325:O388" si="50">IF(OR(LEFT(A325,1)="4",LEFT(A325,1)="5"),"NA","")</f>
        <v/>
      </c>
      <c r="P325" s="34" t="str">
        <f>IF(A325="","",IFERROR(VLOOKUP(A325,'表3（采购界面）'!A:J,10,0),"NA"))</f>
        <v/>
      </c>
      <c r="Q325" s="34" t="str">
        <f>IF(A325="","",IFERROR(VLOOKUP(A325,'表3（采购界面）'!A:Z,11,0),"NA"))</f>
        <v/>
      </c>
      <c r="R325" s="34" t="str">
        <f t="shared" si="48"/>
        <v/>
      </c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</row>
    <row r="326" spans="10:33" x14ac:dyDescent="0.2">
      <c r="J326" s="34"/>
      <c r="K326" s="34" t="str">
        <f t="shared" ref="K326:K389" si="51">_xlfn.IFS(AND(LEFT(A326,1)="4",D326="中国"),"ND",AND(LEFT(A326,1)="5",D326="中国"),"ND",AND(LEFT(A326,1)="5",D326&lt;&gt;"中国"),"M2",A326="","",A326&lt;&gt;"","PD")</f>
        <v/>
      </c>
      <c r="L326" s="34" t="str">
        <f t="shared" si="49"/>
        <v/>
      </c>
      <c r="M326" s="34" t="str">
        <f t="shared" ref="M326:M389" si="52">IF(OR(L326="FX",L326=""),"","NA")</f>
        <v/>
      </c>
      <c r="N326" s="34" t="str">
        <f t="shared" ref="N326:N389" si="53">IF(A326="","","NA")</f>
        <v/>
      </c>
      <c r="O326" s="34" t="str">
        <f t="shared" si="50"/>
        <v/>
      </c>
      <c r="P326" s="34" t="str">
        <f>IF(A326="","",IFERROR(VLOOKUP(A326,'表3（采购界面）'!A:J,10,0),"NA"))</f>
        <v/>
      </c>
      <c r="Q326" s="34" t="str">
        <f>IF(A326="","",IFERROR(VLOOKUP(A326,'表3（采购界面）'!A:Z,11,0),"NA"))</f>
        <v/>
      </c>
      <c r="R326" s="34" t="str">
        <f t="shared" ref="R326:R389" si="54">IF(A326="","",IF(OR(LEFT(A326,1)="1",LEFT(A326,1)="2",LEFT(A326,1)="3"),"F","E"))</f>
        <v/>
      </c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</row>
    <row r="327" spans="10:33" x14ac:dyDescent="0.2">
      <c r="J327" s="34"/>
      <c r="K327" s="34" t="str">
        <f t="shared" si="51"/>
        <v/>
      </c>
      <c r="L327" s="34" t="str">
        <f t="shared" si="49"/>
        <v/>
      </c>
      <c r="M327" s="34" t="str">
        <f t="shared" si="52"/>
        <v/>
      </c>
      <c r="N327" s="34" t="str">
        <f t="shared" si="53"/>
        <v/>
      </c>
      <c r="O327" s="34" t="str">
        <f t="shared" si="50"/>
        <v/>
      </c>
      <c r="P327" s="34" t="str">
        <f>IF(A327="","",IFERROR(VLOOKUP(A327,'表3（采购界面）'!A:J,10,0),"NA"))</f>
        <v/>
      </c>
      <c r="Q327" s="34" t="str">
        <f>IF(A327="","",IFERROR(VLOOKUP(A327,'表3（采购界面）'!A:Z,11,0),"NA"))</f>
        <v/>
      </c>
      <c r="R327" s="34" t="str">
        <f t="shared" si="54"/>
        <v/>
      </c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</row>
    <row r="328" spans="10:33" x14ac:dyDescent="0.2">
      <c r="J328" s="34"/>
      <c r="K328" s="34" t="str">
        <f t="shared" si="51"/>
        <v/>
      </c>
      <c r="L328" s="34" t="str">
        <f t="shared" si="49"/>
        <v/>
      </c>
      <c r="M328" s="34" t="str">
        <f t="shared" si="52"/>
        <v/>
      </c>
      <c r="N328" s="34" t="str">
        <f t="shared" si="53"/>
        <v/>
      </c>
      <c r="O328" s="34" t="str">
        <f t="shared" si="50"/>
        <v/>
      </c>
      <c r="P328" s="34" t="str">
        <f>IF(A328="","",IFERROR(VLOOKUP(A328,'表3（采购界面）'!A:J,10,0),"NA"))</f>
        <v/>
      </c>
      <c r="Q328" s="34" t="str">
        <f>IF(A328="","",IFERROR(VLOOKUP(A328,'表3（采购界面）'!A:Z,11,0),"NA"))</f>
        <v/>
      </c>
      <c r="R328" s="34" t="str">
        <f t="shared" si="54"/>
        <v/>
      </c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</row>
    <row r="329" spans="10:33" x14ac:dyDescent="0.2">
      <c r="J329" s="34"/>
      <c r="K329" s="34" t="str">
        <f t="shared" si="51"/>
        <v/>
      </c>
      <c r="L329" s="34" t="str">
        <f t="shared" si="49"/>
        <v/>
      </c>
      <c r="M329" s="34" t="str">
        <f t="shared" si="52"/>
        <v/>
      </c>
      <c r="N329" s="34" t="str">
        <f t="shared" si="53"/>
        <v/>
      </c>
      <c r="O329" s="34" t="str">
        <f t="shared" si="50"/>
        <v/>
      </c>
      <c r="P329" s="34" t="str">
        <f>IF(A329="","",IFERROR(VLOOKUP(A329,'表3（采购界面）'!A:J,10,0),"NA"))</f>
        <v/>
      </c>
      <c r="Q329" s="34" t="str">
        <f>IF(A329="","",IFERROR(VLOOKUP(A329,'表3（采购界面）'!A:Z,11,0),"NA"))</f>
        <v/>
      </c>
      <c r="R329" s="34" t="str">
        <f t="shared" si="54"/>
        <v/>
      </c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</row>
    <row r="330" spans="10:33" x14ac:dyDescent="0.2">
      <c r="J330" s="34"/>
      <c r="K330" s="34" t="str">
        <f t="shared" si="51"/>
        <v/>
      </c>
      <c r="L330" s="34" t="str">
        <f t="shared" si="49"/>
        <v/>
      </c>
      <c r="M330" s="34" t="str">
        <f t="shared" si="52"/>
        <v/>
      </c>
      <c r="N330" s="34" t="str">
        <f t="shared" si="53"/>
        <v/>
      </c>
      <c r="O330" s="34" t="str">
        <f t="shared" si="50"/>
        <v/>
      </c>
      <c r="P330" s="34" t="str">
        <f>IF(A330="","",IFERROR(VLOOKUP(A330,'表3（采购界面）'!A:J,10,0),"NA"))</f>
        <v/>
      </c>
      <c r="Q330" s="34" t="str">
        <f>IF(A330="","",IFERROR(VLOOKUP(A330,'表3（采购界面）'!A:Z,11,0),"NA"))</f>
        <v/>
      </c>
      <c r="R330" s="34" t="str">
        <f t="shared" si="54"/>
        <v/>
      </c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</row>
    <row r="331" spans="10:33" x14ac:dyDescent="0.2">
      <c r="J331" s="34"/>
      <c r="K331" s="34" t="str">
        <f t="shared" si="51"/>
        <v/>
      </c>
      <c r="L331" s="34" t="str">
        <f t="shared" si="49"/>
        <v/>
      </c>
      <c r="M331" s="34" t="str">
        <f t="shared" si="52"/>
        <v/>
      </c>
      <c r="N331" s="34" t="str">
        <f t="shared" si="53"/>
        <v/>
      </c>
      <c r="O331" s="34" t="str">
        <f t="shared" si="50"/>
        <v/>
      </c>
      <c r="P331" s="34" t="str">
        <f>IF(A331="","",IFERROR(VLOOKUP(A331,'表3（采购界面）'!A:J,10,0),"NA"))</f>
        <v/>
      </c>
      <c r="Q331" s="34" t="str">
        <f>IF(A331="","",IFERROR(VLOOKUP(A331,'表3（采购界面）'!A:Z,11,0),"NA"))</f>
        <v/>
      </c>
      <c r="R331" s="34" t="str">
        <f t="shared" si="54"/>
        <v/>
      </c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</row>
    <row r="332" spans="10:33" x14ac:dyDescent="0.2">
      <c r="J332" s="34"/>
      <c r="K332" s="34" t="str">
        <f t="shared" si="51"/>
        <v/>
      </c>
      <c r="L332" s="34" t="str">
        <f t="shared" si="49"/>
        <v/>
      </c>
      <c r="M332" s="34" t="str">
        <f t="shared" si="52"/>
        <v/>
      </c>
      <c r="N332" s="34" t="str">
        <f t="shared" si="53"/>
        <v/>
      </c>
      <c r="O332" s="34" t="str">
        <f t="shared" si="50"/>
        <v/>
      </c>
      <c r="P332" s="34" t="str">
        <f>IF(A332="","",IFERROR(VLOOKUP(A332,'表3（采购界面）'!A:J,10,0),"NA"))</f>
        <v/>
      </c>
      <c r="Q332" s="34" t="str">
        <f>IF(A332="","",IFERROR(VLOOKUP(A332,'表3（采购界面）'!A:Z,11,0),"NA"))</f>
        <v/>
      </c>
      <c r="R332" s="34" t="str">
        <f t="shared" si="54"/>
        <v/>
      </c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</row>
    <row r="333" spans="10:33" x14ac:dyDescent="0.2">
      <c r="J333" s="34"/>
      <c r="K333" s="34" t="str">
        <f t="shared" si="51"/>
        <v/>
      </c>
      <c r="L333" s="34" t="str">
        <f t="shared" si="49"/>
        <v/>
      </c>
      <c r="M333" s="34" t="str">
        <f t="shared" si="52"/>
        <v/>
      </c>
      <c r="N333" s="34" t="str">
        <f t="shared" si="53"/>
        <v/>
      </c>
      <c r="O333" s="34" t="str">
        <f t="shared" si="50"/>
        <v/>
      </c>
      <c r="P333" s="34" t="str">
        <f>IF(A333="","",IFERROR(VLOOKUP(A333,'表3（采购界面）'!A:J,10,0),"NA"))</f>
        <v/>
      </c>
      <c r="Q333" s="34" t="str">
        <f>IF(A333="","",IFERROR(VLOOKUP(A333,'表3（采购界面）'!A:Z,11,0),"NA"))</f>
        <v/>
      </c>
      <c r="R333" s="34" t="str">
        <f t="shared" si="54"/>
        <v/>
      </c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</row>
    <row r="334" spans="10:33" x14ac:dyDescent="0.2">
      <c r="J334" s="34"/>
      <c r="K334" s="34" t="str">
        <f t="shared" si="51"/>
        <v/>
      </c>
      <c r="L334" s="34" t="str">
        <f t="shared" si="49"/>
        <v/>
      </c>
      <c r="M334" s="34" t="str">
        <f t="shared" si="52"/>
        <v/>
      </c>
      <c r="N334" s="34" t="str">
        <f t="shared" si="53"/>
        <v/>
      </c>
      <c r="O334" s="34" t="str">
        <f t="shared" si="50"/>
        <v/>
      </c>
      <c r="P334" s="34" t="str">
        <f>IF(A334="","",IFERROR(VLOOKUP(A334,'表3（采购界面）'!A:J,10,0),"NA"))</f>
        <v/>
      </c>
      <c r="Q334" s="34" t="str">
        <f>IF(A334="","",IFERROR(VLOOKUP(A334,'表3（采购界面）'!A:Z,11,0),"NA"))</f>
        <v/>
      </c>
      <c r="R334" s="34" t="str">
        <f t="shared" si="54"/>
        <v/>
      </c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</row>
    <row r="335" spans="10:33" x14ac:dyDescent="0.2">
      <c r="J335" s="34"/>
      <c r="K335" s="34" t="str">
        <f t="shared" si="51"/>
        <v/>
      </c>
      <c r="L335" s="34" t="str">
        <f t="shared" si="49"/>
        <v/>
      </c>
      <c r="M335" s="34" t="str">
        <f t="shared" si="52"/>
        <v/>
      </c>
      <c r="N335" s="34" t="str">
        <f t="shared" si="53"/>
        <v/>
      </c>
      <c r="O335" s="34" t="str">
        <f t="shared" si="50"/>
        <v/>
      </c>
      <c r="P335" s="34" t="str">
        <f>IF(A335="","",IFERROR(VLOOKUP(A335,'表3（采购界面）'!A:J,10,0),"NA"))</f>
        <v/>
      </c>
      <c r="Q335" s="34" t="str">
        <f>IF(A335="","",IFERROR(VLOOKUP(A335,'表3（采购界面）'!A:Z,11,0),"NA"))</f>
        <v/>
      </c>
      <c r="R335" s="34" t="str">
        <f t="shared" si="54"/>
        <v/>
      </c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</row>
    <row r="336" spans="10:33" x14ac:dyDescent="0.2">
      <c r="J336" s="34"/>
      <c r="K336" s="34" t="str">
        <f t="shared" si="51"/>
        <v/>
      </c>
      <c r="L336" s="34" t="str">
        <f t="shared" si="49"/>
        <v/>
      </c>
      <c r="M336" s="34" t="str">
        <f t="shared" si="52"/>
        <v/>
      </c>
      <c r="N336" s="34" t="str">
        <f t="shared" si="53"/>
        <v/>
      </c>
      <c r="O336" s="34" t="str">
        <f t="shared" si="50"/>
        <v/>
      </c>
      <c r="P336" s="34" t="str">
        <f>IF(A336="","",IFERROR(VLOOKUP(A336,'表3（采购界面）'!A:J,10,0),"NA"))</f>
        <v/>
      </c>
      <c r="Q336" s="34" t="str">
        <f>IF(A336="","",IFERROR(VLOOKUP(A336,'表3（采购界面）'!A:Z,11,0),"NA"))</f>
        <v/>
      </c>
      <c r="R336" s="34" t="str">
        <f t="shared" si="54"/>
        <v/>
      </c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</row>
    <row r="337" spans="10:33" x14ac:dyDescent="0.2">
      <c r="J337" s="34"/>
      <c r="K337" s="34" t="str">
        <f t="shared" si="51"/>
        <v/>
      </c>
      <c r="L337" s="34" t="str">
        <f t="shared" si="49"/>
        <v/>
      </c>
      <c r="M337" s="34" t="str">
        <f t="shared" si="52"/>
        <v/>
      </c>
      <c r="N337" s="34" t="str">
        <f t="shared" si="53"/>
        <v/>
      </c>
      <c r="O337" s="34" t="str">
        <f t="shared" si="50"/>
        <v/>
      </c>
      <c r="P337" s="34" t="str">
        <f>IF(A337="","",IFERROR(VLOOKUP(A337,'表3（采购界面）'!A:J,10,0),"NA"))</f>
        <v/>
      </c>
      <c r="Q337" s="34" t="str">
        <f>IF(A337="","",IFERROR(VLOOKUP(A337,'表3（采购界面）'!A:Z,11,0),"NA"))</f>
        <v/>
      </c>
      <c r="R337" s="34" t="str">
        <f t="shared" si="54"/>
        <v/>
      </c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</row>
    <row r="338" spans="10:33" x14ac:dyDescent="0.2">
      <c r="J338" s="34"/>
      <c r="K338" s="34" t="str">
        <f t="shared" si="51"/>
        <v/>
      </c>
      <c r="L338" s="34" t="str">
        <f t="shared" si="49"/>
        <v/>
      </c>
      <c r="M338" s="34" t="str">
        <f t="shared" si="52"/>
        <v/>
      </c>
      <c r="N338" s="34" t="str">
        <f t="shared" si="53"/>
        <v/>
      </c>
      <c r="O338" s="34" t="str">
        <f t="shared" si="50"/>
        <v/>
      </c>
      <c r="P338" s="34" t="str">
        <f>IF(A338="","",IFERROR(VLOOKUP(A338,'表3（采购界面）'!A:J,10,0),"NA"))</f>
        <v/>
      </c>
      <c r="Q338" s="34" t="str">
        <f>IF(A338="","",IFERROR(VLOOKUP(A338,'表3（采购界面）'!A:Z,11,0),"NA"))</f>
        <v/>
      </c>
      <c r="R338" s="34" t="str">
        <f t="shared" si="54"/>
        <v/>
      </c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</row>
    <row r="339" spans="10:33" x14ac:dyDescent="0.2">
      <c r="J339" s="34"/>
      <c r="K339" s="34" t="str">
        <f t="shared" si="51"/>
        <v/>
      </c>
      <c r="L339" s="34" t="str">
        <f t="shared" si="49"/>
        <v/>
      </c>
      <c r="M339" s="34" t="str">
        <f t="shared" si="52"/>
        <v/>
      </c>
      <c r="N339" s="34" t="str">
        <f t="shared" si="53"/>
        <v/>
      </c>
      <c r="O339" s="34" t="str">
        <f t="shared" si="50"/>
        <v/>
      </c>
      <c r="P339" s="34" t="str">
        <f>IF(A339="","",IFERROR(VLOOKUP(A339,'表3（采购界面）'!A:J,10,0),"NA"))</f>
        <v/>
      </c>
      <c r="Q339" s="34" t="str">
        <f>IF(A339="","",IFERROR(VLOOKUP(A339,'表3（采购界面）'!A:Z,11,0),"NA"))</f>
        <v/>
      </c>
      <c r="R339" s="34" t="str">
        <f t="shared" si="54"/>
        <v/>
      </c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</row>
    <row r="340" spans="10:33" x14ac:dyDescent="0.2">
      <c r="J340" s="34"/>
      <c r="K340" s="34" t="str">
        <f t="shared" si="51"/>
        <v/>
      </c>
      <c r="L340" s="34" t="str">
        <f t="shared" si="49"/>
        <v/>
      </c>
      <c r="M340" s="34" t="str">
        <f t="shared" si="52"/>
        <v/>
      </c>
      <c r="N340" s="34" t="str">
        <f t="shared" si="53"/>
        <v/>
      </c>
      <c r="O340" s="34" t="str">
        <f t="shared" si="50"/>
        <v/>
      </c>
      <c r="P340" s="34" t="str">
        <f>IF(A340="","",IFERROR(VLOOKUP(A340,'表3（采购界面）'!A:J,10,0),"NA"))</f>
        <v/>
      </c>
      <c r="Q340" s="34" t="str">
        <f>IF(A340="","",IFERROR(VLOOKUP(A340,'表3（采购界面）'!A:Z,11,0),"NA"))</f>
        <v/>
      </c>
      <c r="R340" s="34" t="str">
        <f t="shared" si="54"/>
        <v/>
      </c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</row>
    <row r="341" spans="10:33" x14ac:dyDescent="0.2">
      <c r="J341" s="34"/>
      <c r="K341" s="34" t="str">
        <f t="shared" si="51"/>
        <v/>
      </c>
      <c r="L341" s="34" t="str">
        <f t="shared" si="49"/>
        <v/>
      </c>
      <c r="M341" s="34" t="str">
        <f t="shared" si="52"/>
        <v/>
      </c>
      <c r="N341" s="34" t="str">
        <f t="shared" si="53"/>
        <v/>
      </c>
      <c r="O341" s="34" t="str">
        <f t="shared" si="50"/>
        <v/>
      </c>
      <c r="P341" s="34" t="str">
        <f>IF(A341="","",IFERROR(VLOOKUP(A341,'表3（采购界面）'!A:J,10,0),"NA"))</f>
        <v/>
      </c>
      <c r="Q341" s="34" t="str">
        <f>IF(A341="","",IFERROR(VLOOKUP(A341,'表3（采购界面）'!A:Z,11,0),"NA"))</f>
        <v/>
      </c>
      <c r="R341" s="34" t="str">
        <f t="shared" si="54"/>
        <v/>
      </c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</row>
    <row r="342" spans="10:33" x14ac:dyDescent="0.2">
      <c r="J342" s="34"/>
      <c r="K342" s="34" t="str">
        <f t="shared" si="51"/>
        <v/>
      </c>
      <c r="L342" s="34" t="str">
        <f t="shared" si="49"/>
        <v/>
      </c>
      <c r="M342" s="34" t="str">
        <f t="shared" si="52"/>
        <v/>
      </c>
      <c r="N342" s="34" t="str">
        <f t="shared" si="53"/>
        <v/>
      </c>
      <c r="O342" s="34" t="str">
        <f t="shared" si="50"/>
        <v/>
      </c>
      <c r="P342" s="34" t="str">
        <f>IF(A342="","",IFERROR(VLOOKUP(A342,'表3（采购界面）'!A:J,10,0),"NA"))</f>
        <v/>
      </c>
      <c r="Q342" s="34" t="str">
        <f>IF(A342="","",IFERROR(VLOOKUP(A342,'表3（采购界面）'!A:Z,11,0),"NA"))</f>
        <v/>
      </c>
      <c r="R342" s="34" t="str">
        <f t="shared" si="54"/>
        <v/>
      </c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</row>
    <row r="343" spans="10:33" x14ac:dyDescent="0.2">
      <c r="J343" s="34"/>
      <c r="K343" s="34" t="str">
        <f t="shared" si="51"/>
        <v/>
      </c>
      <c r="L343" s="34" t="str">
        <f t="shared" si="49"/>
        <v/>
      </c>
      <c r="M343" s="34" t="str">
        <f t="shared" si="52"/>
        <v/>
      </c>
      <c r="N343" s="34" t="str">
        <f t="shared" si="53"/>
        <v/>
      </c>
      <c r="O343" s="34" t="str">
        <f t="shared" si="50"/>
        <v/>
      </c>
      <c r="P343" s="34" t="str">
        <f>IF(A343="","",IFERROR(VLOOKUP(A343,'表3（采购界面）'!A:J,10,0),"NA"))</f>
        <v/>
      </c>
      <c r="Q343" s="34" t="str">
        <f>IF(A343="","",IFERROR(VLOOKUP(A343,'表3（采购界面）'!A:Z,11,0),"NA"))</f>
        <v/>
      </c>
      <c r="R343" s="34" t="str">
        <f t="shared" si="54"/>
        <v/>
      </c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</row>
    <row r="344" spans="10:33" x14ac:dyDescent="0.2">
      <c r="J344" s="34"/>
      <c r="K344" s="34" t="str">
        <f t="shared" si="51"/>
        <v/>
      </c>
      <c r="L344" s="34" t="str">
        <f t="shared" si="49"/>
        <v/>
      </c>
      <c r="M344" s="34" t="str">
        <f t="shared" si="52"/>
        <v/>
      </c>
      <c r="N344" s="34" t="str">
        <f t="shared" si="53"/>
        <v/>
      </c>
      <c r="O344" s="34" t="str">
        <f t="shared" si="50"/>
        <v/>
      </c>
      <c r="P344" s="34" t="str">
        <f>IF(A344="","",IFERROR(VLOOKUP(A344,'表3（采购界面）'!A:J,10,0),"NA"))</f>
        <v/>
      </c>
      <c r="Q344" s="34" t="str">
        <f>IF(A344="","",IFERROR(VLOOKUP(A344,'表3（采购界面）'!A:Z,11,0),"NA"))</f>
        <v/>
      </c>
      <c r="R344" s="34" t="str">
        <f t="shared" si="54"/>
        <v/>
      </c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</row>
    <row r="345" spans="10:33" x14ac:dyDescent="0.2">
      <c r="J345" s="34"/>
      <c r="K345" s="34" t="str">
        <f t="shared" si="51"/>
        <v/>
      </c>
      <c r="L345" s="34" t="str">
        <f t="shared" si="49"/>
        <v/>
      </c>
      <c r="M345" s="34" t="str">
        <f t="shared" si="52"/>
        <v/>
      </c>
      <c r="N345" s="34" t="str">
        <f t="shared" si="53"/>
        <v/>
      </c>
      <c r="O345" s="34" t="str">
        <f t="shared" si="50"/>
        <v/>
      </c>
      <c r="P345" s="34" t="str">
        <f>IF(A345="","",IFERROR(VLOOKUP(A345,'表3（采购界面）'!A:J,10,0),"NA"))</f>
        <v/>
      </c>
      <c r="Q345" s="34" t="str">
        <f>IF(A345="","",IFERROR(VLOOKUP(A345,'表3（采购界面）'!A:Z,11,0),"NA"))</f>
        <v/>
      </c>
      <c r="R345" s="34" t="str">
        <f t="shared" si="54"/>
        <v/>
      </c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</row>
    <row r="346" spans="10:33" x14ac:dyDescent="0.2">
      <c r="J346" s="34"/>
      <c r="K346" s="34" t="str">
        <f t="shared" si="51"/>
        <v/>
      </c>
      <c r="L346" s="34" t="str">
        <f t="shared" si="49"/>
        <v/>
      </c>
      <c r="M346" s="34" t="str">
        <f t="shared" si="52"/>
        <v/>
      </c>
      <c r="N346" s="34" t="str">
        <f t="shared" si="53"/>
        <v/>
      </c>
      <c r="O346" s="34" t="str">
        <f t="shared" si="50"/>
        <v/>
      </c>
      <c r="P346" s="34" t="str">
        <f>IF(A346="","",IFERROR(VLOOKUP(A346,'表3（采购界面）'!A:J,10,0),"NA"))</f>
        <v/>
      </c>
      <c r="Q346" s="34" t="str">
        <f>IF(A346="","",IFERROR(VLOOKUP(A346,'表3（采购界面）'!A:Z,11,0),"NA"))</f>
        <v/>
      </c>
      <c r="R346" s="34" t="str">
        <f t="shared" si="54"/>
        <v/>
      </c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</row>
    <row r="347" spans="10:33" x14ac:dyDescent="0.2">
      <c r="J347" s="34"/>
      <c r="K347" s="34" t="str">
        <f t="shared" si="51"/>
        <v/>
      </c>
      <c r="L347" s="34" t="str">
        <f t="shared" si="49"/>
        <v/>
      </c>
      <c r="M347" s="34" t="str">
        <f t="shared" si="52"/>
        <v/>
      </c>
      <c r="N347" s="34" t="str">
        <f t="shared" si="53"/>
        <v/>
      </c>
      <c r="O347" s="34" t="str">
        <f t="shared" si="50"/>
        <v/>
      </c>
      <c r="P347" s="34" t="str">
        <f>IF(A347="","",IFERROR(VLOOKUP(A347,'表3（采购界面）'!A:J,10,0),"NA"))</f>
        <v/>
      </c>
      <c r="Q347" s="34" t="str">
        <f>IF(A347="","",IFERROR(VLOOKUP(A347,'表3（采购界面）'!A:Z,11,0),"NA"))</f>
        <v/>
      </c>
      <c r="R347" s="34" t="str">
        <f t="shared" si="54"/>
        <v/>
      </c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</row>
    <row r="348" spans="10:33" x14ac:dyDescent="0.2">
      <c r="J348" s="34"/>
      <c r="K348" s="34" t="str">
        <f t="shared" si="51"/>
        <v/>
      </c>
      <c r="L348" s="34" t="str">
        <f t="shared" si="49"/>
        <v/>
      </c>
      <c r="M348" s="34" t="str">
        <f t="shared" si="52"/>
        <v/>
      </c>
      <c r="N348" s="34" t="str">
        <f t="shared" si="53"/>
        <v/>
      </c>
      <c r="O348" s="34" t="str">
        <f t="shared" si="50"/>
        <v/>
      </c>
      <c r="P348" s="34" t="str">
        <f>IF(A348="","",IFERROR(VLOOKUP(A348,'表3（采购界面）'!A:J,10,0),"NA"))</f>
        <v/>
      </c>
      <c r="Q348" s="34" t="str">
        <f>IF(A348="","",IFERROR(VLOOKUP(A348,'表3（采购界面）'!A:Z,11,0),"NA"))</f>
        <v/>
      </c>
      <c r="R348" s="34" t="str">
        <f t="shared" si="54"/>
        <v/>
      </c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</row>
    <row r="349" spans="10:33" x14ac:dyDescent="0.2">
      <c r="J349" s="34"/>
      <c r="K349" s="34" t="str">
        <f t="shared" si="51"/>
        <v/>
      </c>
      <c r="L349" s="34" t="str">
        <f t="shared" si="49"/>
        <v/>
      </c>
      <c r="M349" s="34" t="str">
        <f t="shared" si="52"/>
        <v/>
      </c>
      <c r="N349" s="34" t="str">
        <f t="shared" si="53"/>
        <v/>
      </c>
      <c r="O349" s="34" t="str">
        <f t="shared" si="50"/>
        <v/>
      </c>
      <c r="P349" s="34" t="str">
        <f>IF(A349="","",IFERROR(VLOOKUP(A349,'表3（采购界面）'!A:J,10,0),"NA"))</f>
        <v/>
      </c>
      <c r="Q349" s="34" t="str">
        <f>IF(A349="","",IFERROR(VLOOKUP(A349,'表3（采购界面）'!A:Z,11,0),"NA"))</f>
        <v/>
      </c>
      <c r="R349" s="34" t="str">
        <f t="shared" si="54"/>
        <v/>
      </c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</row>
    <row r="350" spans="10:33" x14ac:dyDescent="0.2">
      <c r="J350" s="34"/>
      <c r="K350" s="34" t="str">
        <f t="shared" si="51"/>
        <v/>
      </c>
      <c r="L350" s="34" t="str">
        <f t="shared" si="49"/>
        <v/>
      </c>
      <c r="M350" s="34" t="str">
        <f t="shared" si="52"/>
        <v/>
      </c>
      <c r="N350" s="34" t="str">
        <f t="shared" si="53"/>
        <v/>
      </c>
      <c r="O350" s="34" t="str">
        <f t="shared" si="50"/>
        <v/>
      </c>
      <c r="P350" s="34" t="str">
        <f>IF(A350="","",IFERROR(VLOOKUP(A350,'表3（采购界面）'!A:J,10,0),"NA"))</f>
        <v/>
      </c>
      <c r="Q350" s="34" t="str">
        <f>IF(A350="","",IFERROR(VLOOKUP(A350,'表3（采购界面）'!A:Z,11,0),"NA"))</f>
        <v/>
      </c>
      <c r="R350" s="34" t="str">
        <f t="shared" si="54"/>
        <v/>
      </c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</row>
    <row r="351" spans="10:33" x14ac:dyDescent="0.2">
      <c r="J351" s="34"/>
      <c r="K351" s="34" t="str">
        <f t="shared" si="51"/>
        <v/>
      </c>
      <c r="L351" s="34" t="str">
        <f t="shared" si="49"/>
        <v/>
      </c>
      <c r="M351" s="34" t="str">
        <f t="shared" si="52"/>
        <v/>
      </c>
      <c r="N351" s="34" t="str">
        <f t="shared" si="53"/>
        <v/>
      </c>
      <c r="O351" s="34" t="str">
        <f t="shared" si="50"/>
        <v/>
      </c>
      <c r="P351" s="34" t="str">
        <f>IF(A351="","",IFERROR(VLOOKUP(A351,'表3（采购界面）'!A:J,10,0),"NA"))</f>
        <v/>
      </c>
      <c r="Q351" s="34" t="str">
        <f>IF(A351="","",IFERROR(VLOOKUP(A351,'表3（采购界面）'!A:Z,11,0),"NA"))</f>
        <v/>
      </c>
      <c r="R351" s="34" t="str">
        <f t="shared" si="54"/>
        <v/>
      </c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</row>
    <row r="352" spans="10:33" x14ac:dyDescent="0.2">
      <c r="J352" s="34"/>
      <c r="K352" s="34" t="str">
        <f t="shared" si="51"/>
        <v/>
      </c>
      <c r="L352" s="34" t="str">
        <f t="shared" si="49"/>
        <v/>
      </c>
      <c r="M352" s="34" t="str">
        <f t="shared" si="52"/>
        <v/>
      </c>
      <c r="N352" s="34" t="str">
        <f t="shared" si="53"/>
        <v/>
      </c>
      <c r="O352" s="34" t="str">
        <f t="shared" si="50"/>
        <v/>
      </c>
      <c r="P352" s="34" t="str">
        <f>IF(A352="","",IFERROR(VLOOKUP(A352,'表3（采购界面）'!A:J,10,0),"NA"))</f>
        <v/>
      </c>
      <c r="Q352" s="34" t="str">
        <f>IF(A352="","",IFERROR(VLOOKUP(A352,'表3（采购界面）'!A:Z,11,0),"NA"))</f>
        <v/>
      </c>
      <c r="R352" s="34" t="str">
        <f t="shared" si="54"/>
        <v/>
      </c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</row>
    <row r="353" spans="10:33" x14ac:dyDescent="0.2">
      <c r="J353" s="34"/>
      <c r="K353" s="34" t="str">
        <f t="shared" si="51"/>
        <v/>
      </c>
      <c r="L353" s="34" t="str">
        <f t="shared" si="49"/>
        <v/>
      </c>
      <c r="M353" s="34" t="str">
        <f t="shared" si="52"/>
        <v/>
      </c>
      <c r="N353" s="34" t="str">
        <f t="shared" si="53"/>
        <v/>
      </c>
      <c r="O353" s="34" t="str">
        <f t="shared" si="50"/>
        <v/>
      </c>
      <c r="P353" s="34" t="str">
        <f>IF(A353="","",IFERROR(VLOOKUP(A353,'表3（采购界面）'!A:J,10,0),"NA"))</f>
        <v/>
      </c>
      <c r="Q353" s="34" t="str">
        <f>IF(A353="","",IFERROR(VLOOKUP(A353,'表3（采购界面）'!A:Z,11,0),"NA"))</f>
        <v/>
      </c>
      <c r="R353" s="34" t="str">
        <f t="shared" si="54"/>
        <v/>
      </c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</row>
    <row r="354" spans="10:33" x14ac:dyDescent="0.2">
      <c r="J354" s="34"/>
      <c r="K354" s="34" t="str">
        <f t="shared" si="51"/>
        <v/>
      </c>
      <c r="L354" s="34" t="str">
        <f t="shared" si="49"/>
        <v/>
      </c>
      <c r="M354" s="34" t="str">
        <f t="shared" si="52"/>
        <v/>
      </c>
      <c r="N354" s="34" t="str">
        <f t="shared" si="53"/>
        <v/>
      </c>
      <c r="O354" s="34" t="str">
        <f t="shared" si="50"/>
        <v/>
      </c>
      <c r="P354" s="34" t="str">
        <f>IF(A354="","",IFERROR(VLOOKUP(A354,'表3（采购界面）'!A:J,10,0),"NA"))</f>
        <v/>
      </c>
      <c r="Q354" s="34" t="str">
        <f>IF(A354="","",IFERROR(VLOOKUP(A354,'表3（采购界面）'!A:Z,11,0),"NA"))</f>
        <v/>
      </c>
      <c r="R354" s="34" t="str">
        <f t="shared" si="54"/>
        <v/>
      </c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</row>
    <row r="355" spans="10:33" x14ac:dyDescent="0.2">
      <c r="J355" s="34"/>
      <c r="K355" s="34" t="str">
        <f t="shared" si="51"/>
        <v/>
      </c>
      <c r="L355" s="34" t="str">
        <f t="shared" si="49"/>
        <v/>
      </c>
      <c r="M355" s="34" t="str">
        <f t="shared" si="52"/>
        <v/>
      </c>
      <c r="N355" s="34" t="str">
        <f t="shared" si="53"/>
        <v/>
      </c>
      <c r="O355" s="34" t="str">
        <f t="shared" si="50"/>
        <v/>
      </c>
      <c r="P355" s="34" t="str">
        <f>IF(A355="","",IFERROR(VLOOKUP(A355,'表3（采购界面）'!A:J,10,0),"NA"))</f>
        <v/>
      </c>
      <c r="Q355" s="34" t="str">
        <f>IF(A355="","",IFERROR(VLOOKUP(A355,'表3（采购界面）'!A:Z,11,0),"NA"))</f>
        <v/>
      </c>
      <c r="R355" s="34" t="str">
        <f t="shared" si="54"/>
        <v/>
      </c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</row>
    <row r="356" spans="10:33" x14ac:dyDescent="0.2">
      <c r="J356" s="34"/>
      <c r="K356" s="34" t="str">
        <f t="shared" si="51"/>
        <v/>
      </c>
      <c r="L356" s="34" t="str">
        <f t="shared" si="49"/>
        <v/>
      </c>
      <c r="M356" s="34" t="str">
        <f t="shared" si="52"/>
        <v/>
      </c>
      <c r="N356" s="34" t="str">
        <f t="shared" si="53"/>
        <v/>
      </c>
      <c r="O356" s="34" t="str">
        <f t="shared" si="50"/>
        <v/>
      </c>
      <c r="P356" s="34" t="str">
        <f>IF(A356="","",IFERROR(VLOOKUP(A356,'表3（采购界面）'!A:J,10,0),"NA"))</f>
        <v/>
      </c>
      <c r="Q356" s="34" t="str">
        <f>IF(A356="","",IFERROR(VLOOKUP(A356,'表3（采购界面）'!A:Z,11,0),"NA"))</f>
        <v/>
      </c>
      <c r="R356" s="34" t="str">
        <f t="shared" si="54"/>
        <v/>
      </c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</row>
    <row r="357" spans="10:33" x14ac:dyDescent="0.2">
      <c r="J357" s="34"/>
      <c r="K357" s="34" t="str">
        <f t="shared" si="51"/>
        <v/>
      </c>
      <c r="L357" s="34" t="str">
        <f t="shared" si="49"/>
        <v/>
      </c>
      <c r="M357" s="34" t="str">
        <f t="shared" si="52"/>
        <v/>
      </c>
      <c r="N357" s="34" t="str">
        <f t="shared" si="53"/>
        <v/>
      </c>
      <c r="O357" s="34" t="str">
        <f t="shared" si="50"/>
        <v/>
      </c>
      <c r="P357" s="34" t="str">
        <f>IF(A357="","",IFERROR(VLOOKUP(A357,'表3（采购界面）'!A:J,10,0),"NA"))</f>
        <v/>
      </c>
      <c r="Q357" s="34" t="str">
        <f>IF(A357="","",IFERROR(VLOOKUP(A357,'表3（采购界面）'!A:Z,11,0),"NA"))</f>
        <v/>
      </c>
      <c r="R357" s="34" t="str">
        <f t="shared" si="54"/>
        <v/>
      </c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</row>
    <row r="358" spans="10:33" x14ac:dyDescent="0.2">
      <c r="J358" s="34"/>
      <c r="K358" s="34" t="str">
        <f t="shared" si="51"/>
        <v/>
      </c>
      <c r="L358" s="34" t="str">
        <f t="shared" si="49"/>
        <v/>
      </c>
      <c r="M358" s="34" t="str">
        <f t="shared" si="52"/>
        <v/>
      </c>
      <c r="N358" s="34" t="str">
        <f t="shared" si="53"/>
        <v/>
      </c>
      <c r="O358" s="34" t="str">
        <f t="shared" si="50"/>
        <v/>
      </c>
      <c r="P358" s="34" t="str">
        <f>IF(A358="","",IFERROR(VLOOKUP(A358,'表3（采购界面）'!A:J,10,0),"NA"))</f>
        <v/>
      </c>
      <c r="Q358" s="34" t="str">
        <f>IF(A358="","",IFERROR(VLOOKUP(A358,'表3（采购界面）'!A:Z,11,0),"NA"))</f>
        <v/>
      </c>
      <c r="R358" s="34" t="str">
        <f t="shared" si="54"/>
        <v/>
      </c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</row>
    <row r="359" spans="10:33" x14ac:dyDescent="0.2">
      <c r="J359" s="34"/>
      <c r="K359" s="34" t="str">
        <f t="shared" si="51"/>
        <v/>
      </c>
      <c r="L359" s="34" t="str">
        <f t="shared" si="49"/>
        <v/>
      </c>
      <c r="M359" s="34" t="str">
        <f t="shared" si="52"/>
        <v/>
      </c>
      <c r="N359" s="34" t="str">
        <f t="shared" si="53"/>
        <v/>
      </c>
      <c r="O359" s="34" t="str">
        <f t="shared" si="50"/>
        <v/>
      </c>
      <c r="P359" s="34" t="str">
        <f>IF(A359="","",IFERROR(VLOOKUP(A359,'表3（采购界面）'!A:J,10,0),"NA"))</f>
        <v/>
      </c>
      <c r="Q359" s="34" t="str">
        <f>IF(A359="","",IFERROR(VLOOKUP(A359,'表3（采购界面）'!A:Z,11,0),"NA"))</f>
        <v/>
      </c>
      <c r="R359" s="34" t="str">
        <f t="shared" si="54"/>
        <v/>
      </c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</row>
    <row r="360" spans="10:33" x14ac:dyDescent="0.2">
      <c r="J360" s="34"/>
      <c r="K360" s="34" t="str">
        <f t="shared" si="51"/>
        <v/>
      </c>
      <c r="L360" s="34" t="str">
        <f t="shared" si="49"/>
        <v/>
      </c>
      <c r="M360" s="34" t="str">
        <f t="shared" si="52"/>
        <v/>
      </c>
      <c r="N360" s="34" t="str">
        <f t="shared" si="53"/>
        <v/>
      </c>
      <c r="O360" s="34" t="str">
        <f t="shared" si="50"/>
        <v/>
      </c>
      <c r="P360" s="34" t="str">
        <f>IF(A360="","",IFERROR(VLOOKUP(A360,'表3（采购界面）'!A:J,10,0),"NA"))</f>
        <v/>
      </c>
      <c r="Q360" s="34" t="str">
        <f>IF(A360="","",IFERROR(VLOOKUP(A360,'表3（采购界面）'!A:Z,11,0),"NA"))</f>
        <v/>
      </c>
      <c r="R360" s="34" t="str">
        <f t="shared" si="54"/>
        <v/>
      </c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</row>
    <row r="361" spans="10:33" x14ac:dyDescent="0.2">
      <c r="J361" s="34"/>
      <c r="K361" s="34" t="str">
        <f t="shared" si="51"/>
        <v/>
      </c>
      <c r="L361" s="34" t="str">
        <f t="shared" si="49"/>
        <v/>
      </c>
      <c r="M361" s="34" t="str">
        <f t="shared" si="52"/>
        <v/>
      </c>
      <c r="N361" s="34" t="str">
        <f t="shared" si="53"/>
        <v/>
      </c>
      <c r="O361" s="34" t="str">
        <f t="shared" si="50"/>
        <v/>
      </c>
      <c r="P361" s="34" t="str">
        <f>IF(A361="","",IFERROR(VLOOKUP(A361,'表3（采购界面）'!A:J,10,0),"NA"))</f>
        <v/>
      </c>
      <c r="Q361" s="34" t="str">
        <f>IF(A361="","",IFERROR(VLOOKUP(A361,'表3（采购界面）'!A:Z,11,0),"NA"))</f>
        <v/>
      </c>
      <c r="R361" s="34" t="str">
        <f t="shared" si="54"/>
        <v/>
      </c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</row>
    <row r="362" spans="10:33" x14ac:dyDescent="0.2">
      <c r="J362" s="34"/>
      <c r="K362" s="34" t="str">
        <f t="shared" si="51"/>
        <v/>
      </c>
      <c r="L362" s="34" t="str">
        <f t="shared" si="49"/>
        <v/>
      </c>
      <c r="M362" s="34" t="str">
        <f t="shared" si="52"/>
        <v/>
      </c>
      <c r="N362" s="34" t="str">
        <f t="shared" si="53"/>
        <v/>
      </c>
      <c r="O362" s="34" t="str">
        <f t="shared" si="50"/>
        <v/>
      </c>
      <c r="P362" s="34" t="str">
        <f>IF(A362="","",IFERROR(VLOOKUP(A362,'表3（采购界面）'!A:J,10,0),"NA"))</f>
        <v/>
      </c>
      <c r="Q362" s="34" t="str">
        <f>IF(A362="","",IFERROR(VLOOKUP(A362,'表3（采购界面）'!A:Z,11,0),"NA"))</f>
        <v/>
      </c>
      <c r="R362" s="34" t="str">
        <f t="shared" si="54"/>
        <v/>
      </c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</row>
    <row r="363" spans="10:33" x14ac:dyDescent="0.2">
      <c r="J363" s="34"/>
      <c r="K363" s="34" t="str">
        <f t="shared" si="51"/>
        <v/>
      </c>
      <c r="L363" s="34" t="str">
        <f t="shared" si="49"/>
        <v/>
      </c>
      <c r="M363" s="34" t="str">
        <f t="shared" si="52"/>
        <v/>
      </c>
      <c r="N363" s="34" t="str">
        <f t="shared" si="53"/>
        <v/>
      </c>
      <c r="O363" s="34" t="str">
        <f t="shared" si="50"/>
        <v/>
      </c>
      <c r="P363" s="34" t="str">
        <f>IF(A363="","",IFERROR(VLOOKUP(A363,'表3（采购界面）'!A:J,10,0),"NA"))</f>
        <v/>
      </c>
      <c r="Q363" s="34" t="str">
        <f>IF(A363="","",IFERROR(VLOOKUP(A363,'表3（采购界面）'!A:Z,11,0),"NA"))</f>
        <v/>
      </c>
      <c r="R363" s="34" t="str">
        <f t="shared" si="54"/>
        <v/>
      </c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</row>
    <row r="364" spans="10:33" x14ac:dyDescent="0.2">
      <c r="J364" s="34"/>
      <c r="K364" s="34" t="str">
        <f t="shared" si="51"/>
        <v/>
      </c>
      <c r="L364" s="34" t="str">
        <f t="shared" si="49"/>
        <v/>
      </c>
      <c r="M364" s="34" t="str">
        <f t="shared" si="52"/>
        <v/>
      </c>
      <c r="N364" s="34" t="str">
        <f t="shared" si="53"/>
        <v/>
      </c>
      <c r="O364" s="34" t="str">
        <f t="shared" si="50"/>
        <v/>
      </c>
      <c r="P364" s="34" t="str">
        <f>IF(A364="","",IFERROR(VLOOKUP(A364,'表3（采购界面）'!A:J,10,0),"NA"))</f>
        <v/>
      </c>
      <c r="Q364" s="34" t="str">
        <f>IF(A364="","",IFERROR(VLOOKUP(A364,'表3（采购界面）'!A:Z,11,0),"NA"))</f>
        <v/>
      </c>
      <c r="R364" s="34" t="str">
        <f t="shared" si="54"/>
        <v/>
      </c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</row>
    <row r="365" spans="10:33" x14ac:dyDescent="0.2">
      <c r="J365" s="34"/>
      <c r="K365" s="34" t="str">
        <f t="shared" si="51"/>
        <v/>
      </c>
      <c r="L365" s="34" t="str">
        <f t="shared" si="49"/>
        <v/>
      </c>
      <c r="M365" s="34" t="str">
        <f t="shared" si="52"/>
        <v/>
      </c>
      <c r="N365" s="34" t="str">
        <f t="shared" si="53"/>
        <v/>
      </c>
      <c r="O365" s="34" t="str">
        <f t="shared" si="50"/>
        <v/>
      </c>
      <c r="P365" s="34" t="str">
        <f>IF(A365="","",IFERROR(VLOOKUP(A365,'表3（采购界面）'!A:J,10,0),"NA"))</f>
        <v/>
      </c>
      <c r="Q365" s="34" t="str">
        <f>IF(A365="","",IFERROR(VLOOKUP(A365,'表3（采购界面）'!A:Z,11,0),"NA"))</f>
        <v/>
      </c>
      <c r="R365" s="34" t="str">
        <f t="shared" si="54"/>
        <v/>
      </c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</row>
    <row r="366" spans="10:33" x14ac:dyDescent="0.2">
      <c r="J366" s="34"/>
      <c r="K366" s="34" t="str">
        <f t="shared" si="51"/>
        <v/>
      </c>
      <c r="L366" s="34" t="str">
        <f t="shared" si="49"/>
        <v/>
      </c>
      <c r="M366" s="34" t="str">
        <f t="shared" si="52"/>
        <v/>
      </c>
      <c r="N366" s="34" t="str">
        <f t="shared" si="53"/>
        <v/>
      </c>
      <c r="O366" s="34" t="str">
        <f t="shared" si="50"/>
        <v/>
      </c>
      <c r="P366" s="34" t="str">
        <f>IF(A366="","",IFERROR(VLOOKUP(A366,'表3（采购界面）'!A:J,10,0),"NA"))</f>
        <v/>
      </c>
      <c r="Q366" s="34" t="str">
        <f>IF(A366="","",IFERROR(VLOOKUP(A366,'表3（采购界面）'!A:Z,11,0),"NA"))</f>
        <v/>
      </c>
      <c r="R366" s="34" t="str">
        <f t="shared" si="54"/>
        <v/>
      </c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</row>
    <row r="367" spans="10:33" x14ac:dyDescent="0.2">
      <c r="J367" s="34"/>
      <c r="K367" s="34" t="str">
        <f t="shared" si="51"/>
        <v/>
      </c>
      <c r="L367" s="34" t="str">
        <f t="shared" si="49"/>
        <v/>
      </c>
      <c r="M367" s="34" t="str">
        <f t="shared" si="52"/>
        <v/>
      </c>
      <c r="N367" s="34" t="str">
        <f t="shared" si="53"/>
        <v/>
      </c>
      <c r="O367" s="34" t="str">
        <f t="shared" si="50"/>
        <v/>
      </c>
      <c r="P367" s="34" t="str">
        <f>IF(A367="","",IFERROR(VLOOKUP(A367,'表3（采购界面）'!A:J,10,0),"NA"))</f>
        <v/>
      </c>
      <c r="Q367" s="34" t="str">
        <f>IF(A367="","",IFERROR(VLOOKUP(A367,'表3（采购界面）'!A:Z,11,0),"NA"))</f>
        <v/>
      </c>
      <c r="R367" s="34" t="str">
        <f t="shared" si="54"/>
        <v/>
      </c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</row>
    <row r="368" spans="10:33" x14ac:dyDescent="0.2">
      <c r="J368" s="34"/>
      <c r="K368" s="34" t="str">
        <f t="shared" si="51"/>
        <v/>
      </c>
      <c r="L368" s="34" t="str">
        <f t="shared" si="49"/>
        <v/>
      </c>
      <c r="M368" s="34" t="str">
        <f t="shared" si="52"/>
        <v/>
      </c>
      <c r="N368" s="34" t="str">
        <f t="shared" si="53"/>
        <v/>
      </c>
      <c r="O368" s="34" t="str">
        <f t="shared" si="50"/>
        <v/>
      </c>
      <c r="P368" s="34" t="str">
        <f>IF(A368="","",IFERROR(VLOOKUP(A368,'表3（采购界面）'!A:J,10,0),"NA"))</f>
        <v/>
      </c>
      <c r="Q368" s="34" t="str">
        <f>IF(A368="","",IFERROR(VLOOKUP(A368,'表3（采购界面）'!A:Z,11,0),"NA"))</f>
        <v/>
      </c>
      <c r="R368" s="34" t="str">
        <f t="shared" si="54"/>
        <v/>
      </c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</row>
    <row r="369" spans="10:33" x14ac:dyDescent="0.2">
      <c r="J369" s="34"/>
      <c r="K369" s="34" t="str">
        <f t="shared" si="51"/>
        <v/>
      </c>
      <c r="L369" s="34" t="str">
        <f t="shared" si="49"/>
        <v/>
      </c>
      <c r="M369" s="34" t="str">
        <f t="shared" si="52"/>
        <v/>
      </c>
      <c r="N369" s="34" t="str">
        <f t="shared" si="53"/>
        <v/>
      </c>
      <c r="O369" s="34" t="str">
        <f t="shared" si="50"/>
        <v/>
      </c>
      <c r="P369" s="34" t="str">
        <f>IF(A369="","",IFERROR(VLOOKUP(A369,'表3（采购界面）'!A:J,10,0),"NA"))</f>
        <v/>
      </c>
      <c r="Q369" s="34" t="str">
        <f>IF(A369="","",IFERROR(VLOOKUP(A369,'表3（采购界面）'!A:Z,11,0),"NA"))</f>
        <v/>
      </c>
      <c r="R369" s="34" t="str">
        <f t="shared" si="54"/>
        <v/>
      </c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</row>
    <row r="370" spans="10:33" x14ac:dyDescent="0.2">
      <c r="J370" s="34"/>
      <c r="K370" s="34" t="str">
        <f t="shared" si="51"/>
        <v/>
      </c>
      <c r="L370" s="34" t="str">
        <f t="shared" si="49"/>
        <v/>
      </c>
      <c r="M370" s="34" t="str">
        <f t="shared" si="52"/>
        <v/>
      </c>
      <c r="N370" s="34" t="str">
        <f t="shared" si="53"/>
        <v/>
      </c>
      <c r="O370" s="34" t="str">
        <f t="shared" si="50"/>
        <v/>
      </c>
      <c r="P370" s="34" t="str">
        <f>IF(A370="","",IFERROR(VLOOKUP(A370,'表3（采购界面）'!A:J,10,0),"NA"))</f>
        <v/>
      </c>
      <c r="Q370" s="34" t="str">
        <f>IF(A370="","",IFERROR(VLOOKUP(A370,'表3（采购界面）'!A:Z,11,0),"NA"))</f>
        <v/>
      </c>
      <c r="R370" s="34" t="str">
        <f t="shared" si="54"/>
        <v/>
      </c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</row>
    <row r="371" spans="10:33" x14ac:dyDescent="0.2">
      <c r="J371" s="34"/>
      <c r="K371" s="34" t="str">
        <f t="shared" si="51"/>
        <v/>
      </c>
      <c r="L371" s="34" t="str">
        <f t="shared" si="49"/>
        <v/>
      </c>
      <c r="M371" s="34" t="str">
        <f t="shared" si="52"/>
        <v/>
      </c>
      <c r="N371" s="34" t="str">
        <f t="shared" si="53"/>
        <v/>
      </c>
      <c r="O371" s="34" t="str">
        <f t="shared" si="50"/>
        <v/>
      </c>
      <c r="P371" s="34" t="str">
        <f>IF(A371="","",IFERROR(VLOOKUP(A371,'表3（采购界面）'!A:J,10,0),"NA"))</f>
        <v/>
      </c>
      <c r="Q371" s="34" t="str">
        <f>IF(A371="","",IFERROR(VLOOKUP(A371,'表3（采购界面）'!A:Z,11,0),"NA"))</f>
        <v/>
      </c>
      <c r="R371" s="34" t="str">
        <f t="shared" si="54"/>
        <v/>
      </c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</row>
    <row r="372" spans="10:33" x14ac:dyDescent="0.2">
      <c r="J372" s="34"/>
      <c r="K372" s="34" t="str">
        <f t="shared" si="51"/>
        <v/>
      </c>
      <c r="L372" s="34" t="str">
        <f t="shared" si="49"/>
        <v/>
      </c>
      <c r="M372" s="34" t="str">
        <f t="shared" si="52"/>
        <v/>
      </c>
      <c r="N372" s="34" t="str">
        <f t="shared" si="53"/>
        <v/>
      </c>
      <c r="O372" s="34" t="str">
        <f t="shared" si="50"/>
        <v/>
      </c>
      <c r="P372" s="34" t="str">
        <f>IF(A372="","",IFERROR(VLOOKUP(A372,'表3（采购界面）'!A:J,10,0),"NA"))</f>
        <v/>
      </c>
      <c r="Q372" s="34" t="str">
        <f>IF(A372="","",IFERROR(VLOOKUP(A372,'表3（采购界面）'!A:Z,11,0),"NA"))</f>
        <v/>
      </c>
      <c r="R372" s="34" t="str">
        <f t="shared" si="54"/>
        <v/>
      </c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</row>
    <row r="373" spans="10:33" x14ac:dyDescent="0.2">
      <c r="J373" s="34"/>
      <c r="K373" s="34" t="str">
        <f t="shared" si="51"/>
        <v/>
      </c>
      <c r="L373" s="34" t="str">
        <f t="shared" si="49"/>
        <v/>
      </c>
      <c r="M373" s="34" t="str">
        <f t="shared" si="52"/>
        <v/>
      </c>
      <c r="N373" s="34" t="str">
        <f t="shared" si="53"/>
        <v/>
      </c>
      <c r="O373" s="34" t="str">
        <f t="shared" si="50"/>
        <v/>
      </c>
      <c r="P373" s="34" t="str">
        <f>IF(A373="","",IFERROR(VLOOKUP(A373,'表3（采购界面）'!A:J,10,0),"NA"))</f>
        <v/>
      </c>
      <c r="Q373" s="34" t="str">
        <f>IF(A373="","",IFERROR(VLOOKUP(A373,'表3（采购界面）'!A:Z,11,0),"NA"))</f>
        <v/>
      </c>
      <c r="R373" s="34" t="str">
        <f t="shared" si="54"/>
        <v/>
      </c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</row>
    <row r="374" spans="10:33" x14ac:dyDescent="0.2">
      <c r="J374" s="34"/>
      <c r="K374" s="34" t="str">
        <f t="shared" si="51"/>
        <v/>
      </c>
      <c r="L374" s="34" t="str">
        <f t="shared" si="49"/>
        <v/>
      </c>
      <c r="M374" s="34" t="str">
        <f t="shared" si="52"/>
        <v/>
      </c>
      <c r="N374" s="34" t="str">
        <f t="shared" si="53"/>
        <v/>
      </c>
      <c r="O374" s="34" t="str">
        <f t="shared" si="50"/>
        <v/>
      </c>
      <c r="P374" s="34" t="str">
        <f>IF(A374="","",IFERROR(VLOOKUP(A374,'表3（采购界面）'!A:J,10,0),"NA"))</f>
        <v/>
      </c>
      <c r="Q374" s="34" t="str">
        <f>IF(A374="","",IFERROR(VLOOKUP(A374,'表3（采购界面）'!A:Z,11,0),"NA"))</f>
        <v/>
      </c>
      <c r="R374" s="34" t="str">
        <f t="shared" si="54"/>
        <v/>
      </c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</row>
    <row r="375" spans="10:33" x14ac:dyDescent="0.2">
      <c r="J375" s="34"/>
      <c r="K375" s="34" t="str">
        <f t="shared" si="51"/>
        <v/>
      </c>
      <c r="L375" s="34" t="str">
        <f t="shared" si="49"/>
        <v/>
      </c>
      <c r="M375" s="34" t="str">
        <f t="shared" si="52"/>
        <v/>
      </c>
      <c r="N375" s="34" t="str">
        <f t="shared" si="53"/>
        <v/>
      </c>
      <c r="O375" s="34" t="str">
        <f t="shared" si="50"/>
        <v/>
      </c>
      <c r="P375" s="34" t="str">
        <f>IF(A375="","",IFERROR(VLOOKUP(A375,'表3（采购界面）'!A:J,10,0),"NA"))</f>
        <v/>
      </c>
      <c r="Q375" s="34" t="str">
        <f>IF(A375="","",IFERROR(VLOOKUP(A375,'表3（采购界面）'!A:Z,11,0),"NA"))</f>
        <v/>
      </c>
      <c r="R375" s="34" t="str">
        <f t="shared" si="54"/>
        <v/>
      </c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</row>
    <row r="376" spans="10:33" x14ac:dyDescent="0.2">
      <c r="J376" s="34"/>
      <c r="K376" s="34" t="str">
        <f t="shared" si="51"/>
        <v/>
      </c>
      <c r="L376" s="34" t="str">
        <f t="shared" si="49"/>
        <v/>
      </c>
      <c r="M376" s="34" t="str">
        <f t="shared" si="52"/>
        <v/>
      </c>
      <c r="N376" s="34" t="str">
        <f t="shared" si="53"/>
        <v/>
      </c>
      <c r="O376" s="34" t="str">
        <f t="shared" si="50"/>
        <v/>
      </c>
      <c r="P376" s="34" t="str">
        <f>IF(A376="","",IFERROR(VLOOKUP(A376,'表3（采购界面）'!A:J,10,0),"NA"))</f>
        <v/>
      </c>
      <c r="Q376" s="34" t="str">
        <f>IF(A376="","",IFERROR(VLOOKUP(A376,'表3（采购界面）'!A:Z,11,0),"NA"))</f>
        <v/>
      </c>
      <c r="R376" s="34" t="str">
        <f t="shared" si="54"/>
        <v/>
      </c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</row>
    <row r="377" spans="10:33" x14ac:dyDescent="0.2">
      <c r="J377" s="34"/>
      <c r="K377" s="34" t="str">
        <f t="shared" si="51"/>
        <v/>
      </c>
      <c r="L377" s="34" t="str">
        <f t="shared" si="49"/>
        <v/>
      </c>
      <c r="M377" s="34" t="str">
        <f t="shared" si="52"/>
        <v/>
      </c>
      <c r="N377" s="34" t="str">
        <f t="shared" si="53"/>
        <v/>
      </c>
      <c r="O377" s="34" t="str">
        <f t="shared" si="50"/>
        <v/>
      </c>
      <c r="P377" s="34" t="str">
        <f>IF(A377="","",IFERROR(VLOOKUP(A377,'表3（采购界面）'!A:J,10,0),"NA"))</f>
        <v/>
      </c>
      <c r="Q377" s="34" t="str">
        <f>IF(A377="","",IFERROR(VLOOKUP(A377,'表3（采购界面）'!A:Z,11,0),"NA"))</f>
        <v/>
      </c>
      <c r="R377" s="34" t="str">
        <f t="shared" si="54"/>
        <v/>
      </c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</row>
    <row r="378" spans="10:33" x14ac:dyDescent="0.2">
      <c r="J378" s="34"/>
      <c r="K378" s="34" t="str">
        <f t="shared" si="51"/>
        <v/>
      </c>
      <c r="L378" s="34" t="str">
        <f t="shared" si="49"/>
        <v/>
      </c>
      <c r="M378" s="34" t="str">
        <f t="shared" si="52"/>
        <v/>
      </c>
      <c r="N378" s="34" t="str">
        <f t="shared" si="53"/>
        <v/>
      </c>
      <c r="O378" s="34" t="str">
        <f t="shared" si="50"/>
        <v/>
      </c>
      <c r="P378" s="34" t="str">
        <f>IF(A378="","",IFERROR(VLOOKUP(A378,'表3（采购界面）'!A:J,10,0),"NA"))</f>
        <v/>
      </c>
      <c r="Q378" s="34" t="str">
        <f>IF(A378="","",IFERROR(VLOOKUP(A378,'表3（采购界面）'!A:Z,11,0),"NA"))</f>
        <v/>
      </c>
      <c r="R378" s="34" t="str">
        <f t="shared" si="54"/>
        <v/>
      </c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</row>
    <row r="379" spans="10:33" x14ac:dyDescent="0.2">
      <c r="J379" s="34"/>
      <c r="K379" s="34" t="str">
        <f t="shared" si="51"/>
        <v/>
      </c>
      <c r="L379" s="34" t="str">
        <f t="shared" si="49"/>
        <v/>
      </c>
      <c r="M379" s="34" t="str">
        <f t="shared" si="52"/>
        <v/>
      </c>
      <c r="N379" s="34" t="str">
        <f t="shared" si="53"/>
        <v/>
      </c>
      <c r="O379" s="34" t="str">
        <f t="shared" si="50"/>
        <v/>
      </c>
      <c r="P379" s="34" t="str">
        <f>IF(A379="","",IFERROR(VLOOKUP(A379,'表3（采购界面）'!A:J,10,0),"NA"))</f>
        <v/>
      </c>
      <c r="Q379" s="34" t="str">
        <f>IF(A379="","",IFERROR(VLOOKUP(A379,'表3（采购界面）'!A:Z,11,0),"NA"))</f>
        <v/>
      </c>
      <c r="R379" s="34" t="str">
        <f t="shared" si="54"/>
        <v/>
      </c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</row>
    <row r="380" spans="10:33" x14ac:dyDescent="0.2">
      <c r="J380" s="34"/>
      <c r="K380" s="34" t="str">
        <f t="shared" si="51"/>
        <v/>
      </c>
      <c r="L380" s="34" t="str">
        <f t="shared" si="49"/>
        <v/>
      </c>
      <c r="M380" s="34" t="str">
        <f t="shared" si="52"/>
        <v/>
      </c>
      <c r="N380" s="34" t="str">
        <f t="shared" si="53"/>
        <v/>
      </c>
      <c r="O380" s="34" t="str">
        <f t="shared" si="50"/>
        <v/>
      </c>
      <c r="P380" s="34" t="str">
        <f>IF(A380="","",IFERROR(VLOOKUP(A380,'表3（采购界面）'!A:J,10,0),"NA"))</f>
        <v/>
      </c>
      <c r="Q380" s="34" t="str">
        <f>IF(A380="","",IFERROR(VLOOKUP(A380,'表3（采购界面）'!A:Z,11,0),"NA"))</f>
        <v/>
      </c>
      <c r="R380" s="34" t="str">
        <f t="shared" si="54"/>
        <v/>
      </c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</row>
    <row r="381" spans="10:33" x14ac:dyDescent="0.2">
      <c r="J381" s="34"/>
      <c r="K381" s="34" t="str">
        <f t="shared" si="51"/>
        <v/>
      </c>
      <c r="L381" s="34" t="str">
        <f t="shared" si="49"/>
        <v/>
      </c>
      <c r="M381" s="34" t="str">
        <f t="shared" si="52"/>
        <v/>
      </c>
      <c r="N381" s="34" t="str">
        <f t="shared" si="53"/>
        <v/>
      </c>
      <c r="O381" s="34" t="str">
        <f t="shared" si="50"/>
        <v/>
      </c>
      <c r="P381" s="34" t="str">
        <f>IF(A381="","",IFERROR(VLOOKUP(A381,'表3（采购界面）'!A:J,10,0),"NA"))</f>
        <v/>
      </c>
      <c r="Q381" s="34" t="str">
        <f>IF(A381="","",IFERROR(VLOOKUP(A381,'表3（采购界面）'!A:Z,11,0),"NA"))</f>
        <v/>
      </c>
      <c r="R381" s="34" t="str">
        <f t="shared" si="54"/>
        <v/>
      </c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</row>
    <row r="382" spans="10:33" x14ac:dyDescent="0.2">
      <c r="J382" s="34"/>
      <c r="K382" s="34" t="str">
        <f t="shared" si="51"/>
        <v/>
      </c>
      <c r="L382" s="34" t="str">
        <f t="shared" si="49"/>
        <v/>
      </c>
      <c r="M382" s="34" t="str">
        <f t="shared" si="52"/>
        <v/>
      </c>
      <c r="N382" s="34" t="str">
        <f t="shared" si="53"/>
        <v/>
      </c>
      <c r="O382" s="34" t="str">
        <f t="shared" si="50"/>
        <v/>
      </c>
      <c r="P382" s="34" t="str">
        <f>IF(A382="","",IFERROR(VLOOKUP(A382,'表3（采购界面）'!A:J,10,0),"NA"))</f>
        <v/>
      </c>
      <c r="Q382" s="34" t="str">
        <f>IF(A382="","",IFERROR(VLOOKUP(A382,'表3（采购界面）'!A:Z,11,0),"NA"))</f>
        <v/>
      </c>
      <c r="R382" s="34" t="str">
        <f t="shared" si="54"/>
        <v/>
      </c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</row>
    <row r="383" spans="10:33" x14ac:dyDescent="0.2">
      <c r="J383" s="34"/>
      <c r="K383" s="34" t="str">
        <f t="shared" si="51"/>
        <v/>
      </c>
      <c r="L383" s="34" t="str">
        <f t="shared" si="49"/>
        <v/>
      </c>
      <c r="M383" s="34" t="str">
        <f t="shared" si="52"/>
        <v/>
      </c>
      <c r="N383" s="34" t="str">
        <f t="shared" si="53"/>
        <v/>
      </c>
      <c r="O383" s="34" t="str">
        <f t="shared" si="50"/>
        <v/>
      </c>
      <c r="P383" s="34" t="str">
        <f>IF(A383="","",IFERROR(VLOOKUP(A383,'表3（采购界面）'!A:J,10,0),"NA"))</f>
        <v/>
      </c>
      <c r="Q383" s="34" t="str">
        <f>IF(A383="","",IFERROR(VLOOKUP(A383,'表3（采购界面）'!A:Z,11,0),"NA"))</f>
        <v/>
      </c>
      <c r="R383" s="34" t="str">
        <f t="shared" si="54"/>
        <v/>
      </c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</row>
    <row r="384" spans="10:33" x14ac:dyDescent="0.2">
      <c r="J384" s="34"/>
      <c r="K384" s="34" t="str">
        <f t="shared" si="51"/>
        <v/>
      </c>
      <c r="L384" s="34" t="str">
        <f t="shared" si="49"/>
        <v/>
      </c>
      <c r="M384" s="34" t="str">
        <f t="shared" si="52"/>
        <v/>
      </c>
      <c r="N384" s="34" t="str">
        <f t="shared" si="53"/>
        <v/>
      </c>
      <c r="O384" s="34" t="str">
        <f t="shared" si="50"/>
        <v/>
      </c>
      <c r="P384" s="34" t="str">
        <f>IF(A384="","",IFERROR(VLOOKUP(A384,'表3（采购界面）'!A:J,10,0),"NA"))</f>
        <v/>
      </c>
      <c r="Q384" s="34" t="str">
        <f>IF(A384="","",IFERROR(VLOOKUP(A384,'表3（采购界面）'!A:Z,11,0),"NA"))</f>
        <v/>
      </c>
      <c r="R384" s="34" t="str">
        <f t="shared" si="54"/>
        <v/>
      </c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</row>
    <row r="385" spans="10:33" x14ac:dyDescent="0.2">
      <c r="J385" s="34"/>
      <c r="K385" s="34" t="str">
        <f t="shared" si="51"/>
        <v/>
      </c>
      <c r="L385" s="34" t="str">
        <f t="shared" si="49"/>
        <v/>
      </c>
      <c r="M385" s="34" t="str">
        <f t="shared" si="52"/>
        <v/>
      </c>
      <c r="N385" s="34" t="str">
        <f t="shared" si="53"/>
        <v/>
      </c>
      <c r="O385" s="34" t="str">
        <f t="shared" si="50"/>
        <v/>
      </c>
      <c r="P385" s="34" t="str">
        <f>IF(A385="","",IFERROR(VLOOKUP(A385,'表3（采购界面）'!A:J,10,0),"NA"))</f>
        <v/>
      </c>
      <c r="Q385" s="34" t="str">
        <f>IF(A385="","",IFERROR(VLOOKUP(A385,'表3（采购界面）'!A:Z,11,0),"NA"))</f>
        <v/>
      </c>
      <c r="R385" s="34" t="str">
        <f t="shared" si="54"/>
        <v/>
      </c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</row>
    <row r="386" spans="10:33" x14ac:dyDescent="0.2">
      <c r="J386" s="34"/>
      <c r="K386" s="34" t="str">
        <f t="shared" si="51"/>
        <v/>
      </c>
      <c r="L386" s="34" t="str">
        <f t="shared" si="49"/>
        <v/>
      </c>
      <c r="M386" s="34" t="str">
        <f t="shared" si="52"/>
        <v/>
      </c>
      <c r="N386" s="34" t="str">
        <f t="shared" si="53"/>
        <v/>
      </c>
      <c r="O386" s="34" t="str">
        <f t="shared" si="50"/>
        <v/>
      </c>
      <c r="P386" s="34" t="str">
        <f>IF(A386="","",IFERROR(VLOOKUP(A386,'表3（采购界面）'!A:J,10,0),"NA"))</f>
        <v/>
      </c>
      <c r="Q386" s="34" t="str">
        <f>IF(A386="","",IFERROR(VLOOKUP(A386,'表3（采购界面）'!A:Z,11,0),"NA"))</f>
        <v/>
      </c>
      <c r="R386" s="34" t="str">
        <f t="shared" si="54"/>
        <v/>
      </c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</row>
    <row r="387" spans="10:33" x14ac:dyDescent="0.2">
      <c r="J387" s="34"/>
      <c r="K387" s="34" t="str">
        <f t="shared" si="51"/>
        <v/>
      </c>
      <c r="L387" s="34" t="str">
        <f t="shared" si="49"/>
        <v/>
      </c>
      <c r="M387" s="34" t="str">
        <f t="shared" si="52"/>
        <v/>
      </c>
      <c r="N387" s="34" t="str">
        <f t="shared" si="53"/>
        <v/>
      </c>
      <c r="O387" s="34" t="str">
        <f t="shared" si="50"/>
        <v/>
      </c>
      <c r="P387" s="34" t="str">
        <f>IF(A387="","",IFERROR(VLOOKUP(A387,'表3（采购界面）'!A:J,10,0),"NA"))</f>
        <v/>
      </c>
      <c r="Q387" s="34" t="str">
        <f>IF(A387="","",IFERROR(VLOOKUP(A387,'表3（采购界面）'!A:Z,11,0),"NA"))</f>
        <v/>
      </c>
      <c r="R387" s="34" t="str">
        <f t="shared" si="54"/>
        <v/>
      </c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</row>
    <row r="388" spans="10:33" x14ac:dyDescent="0.2">
      <c r="J388" s="34"/>
      <c r="K388" s="34" t="str">
        <f t="shared" si="51"/>
        <v/>
      </c>
      <c r="L388" s="34" t="str">
        <f t="shared" si="49"/>
        <v/>
      </c>
      <c r="M388" s="34" t="str">
        <f t="shared" si="52"/>
        <v/>
      </c>
      <c r="N388" s="34" t="str">
        <f t="shared" si="53"/>
        <v/>
      </c>
      <c r="O388" s="34" t="str">
        <f t="shared" si="50"/>
        <v/>
      </c>
      <c r="P388" s="34" t="str">
        <f>IF(A388="","",IFERROR(VLOOKUP(A388,'表3（采购界面）'!A:J,10,0),"NA"))</f>
        <v/>
      </c>
      <c r="Q388" s="34" t="str">
        <f>IF(A388="","",IFERROR(VLOOKUP(A388,'表3（采购界面）'!A:Z,11,0),"NA"))</f>
        <v/>
      </c>
      <c r="R388" s="34" t="str">
        <f t="shared" si="54"/>
        <v/>
      </c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</row>
    <row r="389" spans="10:33" x14ac:dyDescent="0.2">
      <c r="J389" s="34"/>
      <c r="K389" s="34" t="str">
        <f t="shared" si="51"/>
        <v/>
      </c>
      <c r="L389" s="34" t="str">
        <f t="shared" ref="L389:L452" si="55">_xlfn.IFS(LEFT(A389)="1","MB",LEFT(A389)="2","WB",LEFT(A389)="3","WB",AND(LEFT(A389)="4",D389&lt;&gt;"中国",J389&lt;&gt;"Y01"),"FX",A389&lt;&gt;"","EX",A389="","")</f>
        <v/>
      </c>
      <c r="M389" s="34" t="str">
        <f t="shared" si="52"/>
        <v/>
      </c>
      <c r="N389" s="34" t="str">
        <f t="shared" si="53"/>
        <v/>
      </c>
      <c r="O389" s="34" t="str">
        <f t="shared" ref="O389:O452" si="56">IF(OR(LEFT(A389,1)="4",LEFT(A389,1)="5"),"NA","")</f>
        <v/>
      </c>
      <c r="P389" s="34" t="str">
        <f>IF(A389="","",IFERROR(VLOOKUP(A389,'表3（采购界面）'!A:J,10,0),"NA"))</f>
        <v/>
      </c>
      <c r="Q389" s="34" t="str">
        <f>IF(A389="","",IFERROR(VLOOKUP(A389,'表3（采购界面）'!A:Z,11,0),"NA"))</f>
        <v/>
      </c>
      <c r="R389" s="34" t="str">
        <f t="shared" si="54"/>
        <v/>
      </c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</row>
    <row r="390" spans="10:33" x14ac:dyDescent="0.2">
      <c r="J390" s="34"/>
      <c r="K390" s="34" t="str">
        <f t="shared" ref="K390:K453" si="57">_xlfn.IFS(AND(LEFT(A390,1)="4",D390="中国"),"ND",AND(LEFT(A390,1)="5",D390="中国"),"ND",AND(LEFT(A390,1)="5",D390&lt;&gt;"中国"),"M2",A390="","",A390&lt;&gt;"","PD")</f>
        <v/>
      </c>
      <c r="L390" s="34" t="str">
        <f t="shared" si="55"/>
        <v/>
      </c>
      <c r="M390" s="34" t="str">
        <f t="shared" ref="M390:M453" si="58">IF(OR(L390="FX",L390=""),"","NA")</f>
        <v/>
      </c>
      <c r="N390" s="34" t="str">
        <f t="shared" ref="N390:N453" si="59">IF(A390="","","NA")</f>
        <v/>
      </c>
      <c r="O390" s="34" t="str">
        <f t="shared" si="56"/>
        <v/>
      </c>
      <c r="P390" s="34" t="str">
        <f>IF(A390="","",IFERROR(VLOOKUP(A390,'表3（采购界面）'!A:J,10,0),"NA"))</f>
        <v/>
      </c>
      <c r="Q390" s="34" t="str">
        <f>IF(A390="","",IFERROR(VLOOKUP(A390,'表3（采购界面）'!A:Z,11,0),"NA"))</f>
        <v/>
      </c>
      <c r="R390" s="34" t="str">
        <f t="shared" ref="R390:R453" si="60">IF(A390="","",IF(OR(LEFT(A390,1)="1",LEFT(A390,1)="2",LEFT(A390,1)="3"),"F","E"))</f>
        <v/>
      </c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</row>
    <row r="391" spans="10:33" x14ac:dyDescent="0.2">
      <c r="J391" s="34"/>
      <c r="K391" s="34" t="str">
        <f t="shared" si="57"/>
        <v/>
      </c>
      <c r="L391" s="34" t="str">
        <f t="shared" si="55"/>
        <v/>
      </c>
      <c r="M391" s="34" t="str">
        <f t="shared" si="58"/>
        <v/>
      </c>
      <c r="N391" s="34" t="str">
        <f t="shared" si="59"/>
        <v/>
      </c>
      <c r="O391" s="34" t="str">
        <f t="shared" si="56"/>
        <v/>
      </c>
      <c r="P391" s="34" t="str">
        <f>IF(A391="","",IFERROR(VLOOKUP(A391,'表3（采购界面）'!A:J,10,0),"NA"))</f>
        <v/>
      </c>
      <c r="Q391" s="34" t="str">
        <f>IF(A391="","",IFERROR(VLOOKUP(A391,'表3（采购界面）'!A:Z,11,0),"NA"))</f>
        <v/>
      </c>
      <c r="R391" s="34" t="str">
        <f t="shared" si="60"/>
        <v/>
      </c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</row>
    <row r="392" spans="10:33" x14ac:dyDescent="0.2">
      <c r="J392" s="34"/>
      <c r="K392" s="34" t="str">
        <f t="shared" si="57"/>
        <v/>
      </c>
      <c r="L392" s="34" t="str">
        <f t="shared" si="55"/>
        <v/>
      </c>
      <c r="M392" s="34" t="str">
        <f t="shared" si="58"/>
        <v/>
      </c>
      <c r="N392" s="34" t="str">
        <f t="shared" si="59"/>
        <v/>
      </c>
      <c r="O392" s="34" t="str">
        <f t="shared" si="56"/>
        <v/>
      </c>
      <c r="P392" s="34" t="str">
        <f>IF(A392="","",IFERROR(VLOOKUP(A392,'表3（采购界面）'!A:J,10,0),"NA"))</f>
        <v/>
      </c>
      <c r="Q392" s="34" t="str">
        <f>IF(A392="","",IFERROR(VLOOKUP(A392,'表3（采购界面）'!A:Z,11,0),"NA"))</f>
        <v/>
      </c>
      <c r="R392" s="34" t="str">
        <f t="shared" si="60"/>
        <v/>
      </c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</row>
    <row r="393" spans="10:33" x14ac:dyDescent="0.2">
      <c r="J393" s="34"/>
      <c r="K393" s="34" t="str">
        <f t="shared" si="57"/>
        <v/>
      </c>
      <c r="L393" s="34" t="str">
        <f t="shared" si="55"/>
        <v/>
      </c>
      <c r="M393" s="34" t="str">
        <f t="shared" si="58"/>
        <v/>
      </c>
      <c r="N393" s="34" t="str">
        <f t="shared" si="59"/>
        <v/>
      </c>
      <c r="O393" s="34" t="str">
        <f t="shared" si="56"/>
        <v/>
      </c>
      <c r="P393" s="34" t="str">
        <f>IF(A393="","",IFERROR(VLOOKUP(A393,'表3（采购界面）'!A:J,10,0),"NA"))</f>
        <v/>
      </c>
      <c r="Q393" s="34" t="str">
        <f>IF(A393="","",IFERROR(VLOOKUP(A393,'表3（采购界面）'!A:Z,11,0),"NA"))</f>
        <v/>
      </c>
      <c r="R393" s="34" t="str">
        <f t="shared" si="60"/>
        <v/>
      </c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</row>
    <row r="394" spans="10:33" x14ac:dyDescent="0.2">
      <c r="J394" s="34"/>
      <c r="K394" s="34" t="str">
        <f t="shared" si="57"/>
        <v/>
      </c>
      <c r="L394" s="34" t="str">
        <f t="shared" si="55"/>
        <v/>
      </c>
      <c r="M394" s="34" t="str">
        <f t="shared" si="58"/>
        <v/>
      </c>
      <c r="N394" s="34" t="str">
        <f t="shared" si="59"/>
        <v/>
      </c>
      <c r="O394" s="34" t="str">
        <f t="shared" si="56"/>
        <v/>
      </c>
      <c r="P394" s="34" t="str">
        <f>IF(A394="","",IFERROR(VLOOKUP(A394,'表3（采购界面）'!A:J,10,0),"NA"))</f>
        <v/>
      </c>
      <c r="Q394" s="34" t="str">
        <f>IF(A394="","",IFERROR(VLOOKUP(A394,'表3（采购界面）'!A:Z,11,0),"NA"))</f>
        <v/>
      </c>
      <c r="R394" s="34" t="str">
        <f t="shared" si="60"/>
        <v/>
      </c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</row>
    <row r="395" spans="10:33" x14ac:dyDescent="0.2">
      <c r="J395" s="34"/>
      <c r="K395" s="34" t="str">
        <f t="shared" si="57"/>
        <v/>
      </c>
      <c r="L395" s="34" t="str">
        <f t="shared" si="55"/>
        <v/>
      </c>
      <c r="M395" s="34" t="str">
        <f t="shared" si="58"/>
        <v/>
      </c>
      <c r="N395" s="34" t="str">
        <f t="shared" si="59"/>
        <v/>
      </c>
      <c r="O395" s="34" t="str">
        <f t="shared" si="56"/>
        <v/>
      </c>
      <c r="P395" s="34" t="str">
        <f>IF(A395="","",IFERROR(VLOOKUP(A395,'表3（采购界面）'!A:J,10,0),"NA"))</f>
        <v/>
      </c>
      <c r="Q395" s="34" t="str">
        <f>IF(A395="","",IFERROR(VLOOKUP(A395,'表3（采购界面）'!A:Z,11,0),"NA"))</f>
        <v/>
      </c>
      <c r="R395" s="34" t="str">
        <f t="shared" si="60"/>
        <v/>
      </c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</row>
    <row r="396" spans="10:33" x14ac:dyDescent="0.2">
      <c r="J396" s="34"/>
      <c r="K396" s="34" t="str">
        <f t="shared" si="57"/>
        <v/>
      </c>
      <c r="L396" s="34" t="str">
        <f t="shared" si="55"/>
        <v/>
      </c>
      <c r="M396" s="34" t="str">
        <f t="shared" si="58"/>
        <v/>
      </c>
      <c r="N396" s="34" t="str">
        <f t="shared" si="59"/>
        <v/>
      </c>
      <c r="O396" s="34" t="str">
        <f t="shared" si="56"/>
        <v/>
      </c>
      <c r="P396" s="34" t="str">
        <f>IF(A396="","",IFERROR(VLOOKUP(A396,'表3（采购界面）'!A:J,10,0),"NA"))</f>
        <v/>
      </c>
      <c r="Q396" s="34" t="str">
        <f>IF(A396="","",IFERROR(VLOOKUP(A396,'表3（采购界面）'!A:Z,11,0),"NA"))</f>
        <v/>
      </c>
      <c r="R396" s="34" t="str">
        <f t="shared" si="60"/>
        <v/>
      </c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</row>
    <row r="397" spans="10:33" x14ac:dyDescent="0.2">
      <c r="J397" s="34"/>
      <c r="K397" s="34" t="str">
        <f t="shared" si="57"/>
        <v/>
      </c>
      <c r="L397" s="34" t="str">
        <f t="shared" si="55"/>
        <v/>
      </c>
      <c r="M397" s="34" t="str">
        <f t="shared" si="58"/>
        <v/>
      </c>
      <c r="N397" s="34" t="str">
        <f t="shared" si="59"/>
        <v/>
      </c>
      <c r="O397" s="34" t="str">
        <f t="shared" si="56"/>
        <v/>
      </c>
      <c r="P397" s="34" t="str">
        <f>IF(A397="","",IFERROR(VLOOKUP(A397,'表3（采购界面）'!A:J,10,0),"NA"))</f>
        <v/>
      </c>
      <c r="Q397" s="34" t="str">
        <f>IF(A397="","",IFERROR(VLOOKUP(A397,'表3（采购界面）'!A:Z,11,0),"NA"))</f>
        <v/>
      </c>
      <c r="R397" s="34" t="str">
        <f t="shared" si="60"/>
        <v/>
      </c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</row>
    <row r="398" spans="10:33" x14ac:dyDescent="0.2">
      <c r="J398" s="34"/>
      <c r="K398" s="34" t="str">
        <f t="shared" si="57"/>
        <v/>
      </c>
      <c r="L398" s="34" t="str">
        <f t="shared" si="55"/>
        <v/>
      </c>
      <c r="M398" s="34" t="str">
        <f t="shared" si="58"/>
        <v/>
      </c>
      <c r="N398" s="34" t="str">
        <f t="shared" si="59"/>
        <v/>
      </c>
      <c r="O398" s="34" t="str">
        <f t="shared" si="56"/>
        <v/>
      </c>
      <c r="P398" s="34" t="str">
        <f>IF(A398="","",IFERROR(VLOOKUP(A398,'表3（采购界面）'!A:J,10,0),"NA"))</f>
        <v/>
      </c>
      <c r="Q398" s="34" t="str">
        <f>IF(A398="","",IFERROR(VLOOKUP(A398,'表3（采购界面）'!A:Z,11,0),"NA"))</f>
        <v/>
      </c>
      <c r="R398" s="34" t="str">
        <f t="shared" si="60"/>
        <v/>
      </c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</row>
    <row r="399" spans="10:33" x14ac:dyDescent="0.2">
      <c r="J399" s="34"/>
      <c r="K399" s="34" t="str">
        <f t="shared" si="57"/>
        <v/>
      </c>
      <c r="L399" s="34" t="str">
        <f t="shared" si="55"/>
        <v/>
      </c>
      <c r="M399" s="34" t="str">
        <f t="shared" si="58"/>
        <v/>
      </c>
      <c r="N399" s="34" t="str">
        <f t="shared" si="59"/>
        <v/>
      </c>
      <c r="O399" s="34" t="str">
        <f t="shared" si="56"/>
        <v/>
      </c>
      <c r="P399" s="34" t="str">
        <f>IF(A399="","",IFERROR(VLOOKUP(A399,'表3（采购界面）'!A:J,10,0),"NA"))</f>
        <v/>
      </c>
      <c r="Q399" s="34" t="str">
        <f>IF(A399="","",IFERROR(VLOOKUP(A399,'表3（采购界面）'!A:Z,11,0),"NA"))</f>
        <v/>
      </c>
      <c r="R399" s="34" t="str">
        <f t="shared" si="60"/>
        <v/>
      </c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</row>
    <row r="400" spans="10:33" x14ac:dyDescent="0.2">
      <c r="J400" s="34"/>
      <c r="K400" s="34" t="str">
        <f t="shared" si="57"/>
        <v/>
      </c>
      <c r="L400" s="34" t="str">
        <f t="shared" si="55"/>
        <v/>
      </c>
      <c r="M400" s="34" t="str">
        <f t="shared" si="58"/>
        <v/>
      </c>
      <c r="N400" s="34" t="str">
        <f t="shared" si="59"/>
        <v/>
      </c>
      <c r="O400" s="34" t="str">
        <f t="shared" si="56"/>
        <v/>
      </c>
      <c r="P400" s="34" t="str">
        <f>IF(A400="","",IFERROR(VLOOKUP(A400,'表3（采购界面）'!A:J,10,0),"NA"))</f>
        <v/>
      </c>
      <c r="Q400" s="34" t="str">
        <f>IF(A400="","",IFERROR(VLOOKUP(A400,'表3（采购界面）'!A:Z,11,0),"NA"))</f>
        <v/>
      </c>
      <c r="R400" s="34" t="str">
        <f t="shared" si="60"/>
        <v/>
      </c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</row>
    <row r="401" spans="10:33" x14ac:dyDescent="0.2">
      <c r="J401" s="34"/>
      <c r="K401" s="34" t="str">
        <f t="shared" si="57"/>
        <v/>
      </c>
      <c r="L401" s="34" t="str">
        <f t="shared" si="55"/>
        <v/>
      </c>
      <c r="M401" s="34" t="str">
        <f t="shared" si="58"/>
        <v/>
      </c>
      <c r="N401" s="34" t="str">
        <f t="shared" si="59"/>
        <v/>
      </c>
      <c r="O401" s="34" t="str">
        <f t="shared" si="56"/>
        <v/>
      </c>
      <c r="P401" s="34" t="str">
        <f>IF(A401="","",IFERROR(VLOOKUP(A401,'表3（采购界面）'!A:J,10,0),"NA"))</f>
        <v/>
      </c>
      <c r="Q401" s="34" t="str">
        <f>IF(A401="","",IFERROR(VLOOKUP(A401,'表3（采购界面）'!A:Z,11,0),"NA"))</f>
        <v/>
      </c>
      <c r="R401" s="34" t="str">
        <f t="shared" si="60"/>
        <v/>
      </c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</row>
    <row r="402" spans="10:33" x14ac:dyDescent="0.2">
      <c r="J402" s="34"/>
      <c r="K402" s="34" t="str">
        <f t="shared" si="57"/>
        <v/>
      </c>
      <c r="L402" s="34" t="str">
        <f t="shared" si="55"/>
        <v/>
      </c>
      <c r="M402" s="34" t="str">
        <f t="shared" si="58"/>
        <v/>
      </c>
      <c r="N402" s="34" t="str">
        <f t="shared" si="59"/>
        <v/>
      </c>
      <c r="O402" s="34" t="str">
        <f t="shared" si="56"/>
        <v/>
      </c>
      <c r="P402" s="34" t="str">
        <f>IF(A402="","",IFERROR(VLOOKUP(A402,'表3（采购界面）'!A:J,10,0),"NA"))</f>
        <v/>
      </c>
      <c r="Q402" s="34" t="str">
        <f>IF(A402="","",IFERROR(VLOOKUP(A402,'表3（采购界面）'!A:Z,11,0),"NA"))</f>
        <v/>
      </c>
      <c r="R402" s="34" t="str">
        <f t="shared" si="60"/>
        <v/>
      </c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</row>
    <row r="403" spans="10:33" x14ac:dyDescent="0.2">
      <c r="J403" s="34"/>
      <c r="K403" s="34" t="str">
        <f t="shared" si="57"/>
        <v/>
      </c>
      <c r="L403" s="34" t="str">
        <f t="shared" si="55"/>
        <v/>
      </c>
      <c r="M403" s="34" t="str">
        <f t="shared" si="58"/>
        <v/>
      </c>
      <c r="N403" s="34" t="str">
        <f t="shared" si="59"/>
        <v/>
      </c>
      <c r="O403" s="34" t="str">
        <f t="shared" si="56"/>
        <v/>
      </c>
      <c r="P403" s="34" t="str">
        <f>IF(A403="","",IFERROR(VLOOKUP(A403,'表3（采购界面）'!A:J,10,0),"NA"))</f>
        <v/>
      </c>
      <c r="Q403" s="34" t="str">
        <f>IF(A403="","",IFERROR(VLOOKUP(A403,'表3（采购界面）'!A:Z,11,0),"NA"))</f>
        <v/>
      </c>
      <c r="R403" s="34" t="str">
        <f t="shared" si="60"/>
        <v/>
      </c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</row>
    <row r="404" spans="10:33" x14ac:dyDescent="0.2">
      <c r="J404" s="34"/>
      <c r="K404" s="34" t="str">
        <f t="shared" si="57"/>
        <v/>
      </c>
      <c r="L404" s="34" t="str">
        <f t="shared" si="55"/>
        <v/>
      </c>
      <c r="M404" s="34" t="str">
        <f t="shared" si="58"/>
        <v/>
      </c>
      <c r="N404" s="34" t="str">
        <f t="shared" si="59"/>
        <v/>
      </c>
      <c r="O404" s="34" t="str">
        <f t="shared" si="56"/>
        <v/>
      </c>
      <c r="P404" s="34" t="str">
        <f>IF(A404="","",IFERROR(VLOOKUP(A404,'表3（采购界面）'!A:J,10,0),"NA"))</f>
        <v/>
      </c>
      <c r="Q404" s="34" t="str">
        <f>IF(A404="","",IFERROR(VLOOKUP(A404,'表3（采购界面）'!A:Z,11,0),"NA"))</f>
        <v/>
      </c>
      <c r="R404" s="34" t="str">
        <f t="shared" si="60"/>
        <v/>
      </c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</row>
    <row r="405" spans="10:33" x14ac:dyDescent="0.2">
      <c r="J405" s="34"/>
      <c r="K405" s="34" t="str">
        <f t="shared" si="57"/>
        <v/>
      </c>
      <c r="L405" s="34" t="str">
        <f t="shared" si="55"/>
        <v/>
      </c>
      <c r="M405" s="34" t="str">
        <f t="shared" si="58"/>
        <v/>
      </c>
      <c r="N405" s="34" t="str">
        <f t="shared" si="59"/>
        <v/>
      </c>
      <c r="O405" s="34" t="str">
        <f t="shared" si="56"/>
        <v/>
      </c>
      <c r="P405" s="34" t="str">
        <f>IF(A405="","",IFERROR(VLOOKUP(A405,'表3（采购界面）'!A:J,10,0),"NA"))</f>
        <v/>
      </c>
      <c r="Q405" s="34" t="str">
        <f>IF(A405="","",IFERROR(VLOOKUP(A405,'表3（采购界面）'!A:Z,11,0),"NA"))</f>
        <v/>
      </c>
      <c r="R405" s="34" t="str">
        <f t="shared" si="60"/>
        <v/>
      </c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</row>
    <row r="406" spans="10:33" x14ac:dyDescent="0.2">
      <c r="J406" s="34"/>
      <c r="K406" s="34" t="str">
        <f t="shared" si="57"/>
        <v/>
      </c>
      <c r="L406" s="34" t="str">
        <f t="shared" si="55"/>
        <v/>
      </c>
      <c r="M406" s="34" t="str">
        <f t="shared" si="58"/>
        <v/>
      </c>
      <c r="N406" s="34" t="str">
        <f t="shared" si="59"/>
        <v/>
      </c>
      <c r="O406" s="34" t="str">
        <f t="shared" si="56"/>
        <v/>
      </c>
      <c r="P406" s="34" t="str">
        <f>IF(A406="","",IFERROR(VLOOKUP(A406,'表3（采购界面）'!A:J,10,0),"NA"))</f>
        <v/>
      </c>
      <c r="Q406" s="34" t="str">
        <f>IF(A406="","",IFERROR(VLOOKUP(A406,'表3（采购界面）'!A:Z,11,0),"NA"))</f>
        <v/>
      </c>
      <c r="R406" s="34" t="str">
        <f t="shared" si="60"/>
        <v/>
      </c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</row>
    <row r="407" spans="10:33" x14ac:dyDescent="0.2">
      <c r="J407" s="34"/>
      <c r="K407" s="34" t="str">
        <f t="shared" si="57"/>
        <v/>
      </c>
      <c r="L407" s="34" t="str">
        <f t="shared" si="55"/>
        <v/>
      </c>
      <c r="M407" s="34" t="str">
        <f t="shared" si="58"/>
        <v/>
      </c>
      <c r="N407" s="34" t="str">
        <f t="shared" si="59"/>
        <v/>
      </c>
      <c r="O407" s="34" t="str">
        <f t="shared" si="56"/>
        <v/>
      </c>
      <c r="P407" s="34" t="str">
        <f>IF(A407="","",IFERROR(VLOOKUP(A407,'表3（采购界面）'!A:J,10,0),"NA"))</f>
        <v/>
      </c>
      <c r="Q407" s="34" t="str">
        <f>IF(A407="","",IFERROR(VLOOKUP(A407,'表3（采购界面）'!A:Z,11,0),"NA"))</f>
        <v/>
      </c>
      <c r="R407" s="34" t="str">
        <f t="shared" si="60"/>
        <v/>
      </c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</row>
    <row r="408" spans="10:33" x14ac:dyDescent="0.2">
      <c r="J408" s="34"/>
      <c r="K408" s="34" t="str">
        <f t="shared" si="57"/>
        <v/>
      </c>
      <c r="L408" s="34" t="str">
        <f t="shared" si="55"/>
        <v/>
      </c>
      <c r="M408" s="34" t="str">
        <f t="shared" si="58"/>
        <v/>
      </c>
      <c r="N408" s="34" t="str">
        <f t="shared" si="59"/>
        <v/>
      </c>
      <c r="O408" s="34" t="str">
        <f t="shared" si="56"/>
        <v/>
      </c>
      <c r="P408" s="34" t="str">
        <f>IF(A408="","",IFERROR(VLOOKUP(A408,'表3（采购界面）'!A:J,10,0),"NA"))</f>
        <v/>
      </c>
      <c r="Q408" s="34" t="str">
        <f>IF(A408="","",IFERROR(VLOOKUP(A408,'表3（采购界面）'!A:Z,11,0),"NA"))</f>
        <v/>
      </c>
      <c r="R408" s="34" t="str">
        <f t="shared" si="60"/>
        <v/>
      </c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</row>
    <row r="409" spans="10:33" x14ac:dyDescent="0.2">
      <c r="J409" s="34"/>
      <c r="K409" s="34" t="str">
        <f t="shared" si="57"/>
        <v/>
      </c>
      <c r="L409" s="34" t="str">
        <f t="shared" si="55"/>
        <v/>
      </c>
      <c r="M409" s="34" t="str">
        <f t="shared" si="58"/>
        <v/>
      </c>
      <c r="N409" s="34" t="str">
        <f t="shared" si="59"/>
        <v/>
      </c>
      <c r="O409" s="34" t="str">
        <f t="shared" si="56"/>
        <v/>
      </c>
      <c r="P409" s="34" t="str">
        <f>IF(A409="","",IFERROR(VLOOKUP(A409,'表3（采购界面）'!A:J,10,0),"NA"))</f>
        <v/>
      </c>
      <c r="Q409" s="34" t="str">
        <f>IF(A409="","",IFERROR(VLOOKUP(A409,'表3（采购界面）'!A:Z,11,0),"NA"))</f>
        <v/>
      </c>
      <c r="R409" s="34" t="str">
        <f t="shared" si="60"/>
        <v/>
      </c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</row>
    <row r="410" spans="10:33" x14ac:dyDescent="0.2">
      <c r="J410" s="34"/>
      <c r="K410" s="34" t="str">
        <f t="shared" si="57"/>
        <v/>
      </c>
      <c r="L410" s="34" t="str">
        <f t="shared" si="55"/>
        <v/>
      </c>
      <c r="M410" s="34" t="str">
        <f t="shared" si="58"/>
        <v/>
      </c>
      <c r="N410" s="34" t="str">
        <f t="shared" si="59"/>
        <v/>
      </c>
      <c r="O410" s="34" t="str">
        <f t="shared" si="56"/>
        <v/>
      </c>
      <c r="P410" s="34" t="str">
        <f>IF(A410="","",IFERROR(VLOOKUP(A410,'表3（采购界面）'!A:J,10,0),"NA"))</f>
        <v/>
      </c>
      <c r="Q410" s="34" t="str">
        <f>IF(A410="","",IFERROR(VLOOKUP(A410,'表3（采购界面）'!A:Z,11,0),"NA"))</f>
        <v/>
      </c>
      <c r="R410" s="34" t="str">
        <f t="shared" si="60"/>
        <v/>
      </c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</row>
    <row r="411" spans="10:33" x14ac:dyDescent="0.2">
      <c r="J411" s="34"/>
      <c r="K411" s="34" t="str">
        <f t="shared" si="57"/>
        <v/>
      </c>
      <c r="L411" s="34" t="str">
        <f t="shared" si="55"/>
        <v/>
      </c>
      <c r="M411" s="34" t="str">
        <f t="shared" si="58"/>
        <v/>
      </c>
      <c r="N411" s="34" t="str">
        <f t="shared" si="59"/>
        <v/>
      </c>
      <c r="O411" s="34" t="str">
        <f t="shared" si="56"/>
        <v/>
      </c>
      <c r="P411" s="34" t="str">
        <f>IF(A411="","",IFERROR(VLOOKUP(A411,'表3（采购界面）'!A:J,10,0),"NA"))</f>
        <v/>
      </c>
      <c r="Q411" s="34" t="str">
        <f>IF(A411="","",IFERROR(VLOOKUP(A411,'表3（采购界面）'!A:Z,11,0),"NA"))</f>
        <v/>
      </c>
      <c r="R411" s="34" t="str">
        <f t="shared" si="60"/>
        <v/>
      </c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</row>
    <row r="412" spans="10:33" x14ac:dyDescent="0.2">
      <c r="J412" s="34"/>
      <c r="K412" s="34" t="str">
        <f t="shared" si="57"/>
        <v/>
      </c>
      <c r="L412" s="34" t="str">
        <f t="shared" si="55"/>
        <v/>
      </c>
      <c r="M412" s="34" t="str">
        <f t="shared" si="58"/>
        <v/>
      </c>
      <c r="N412" s="34" t="str">
        <f t="shared" si="59"/>
        <v/>
      </c>
      <c r="O412" s="34" t="str">
        <f t="shared" si="56"/>
        <v/>
      </c>
      <c r="P412" s="34" t="str">
        <f>IF(A412="","",IFERROR(VLOOKUP(A412,'表3（采购界面）'!A:J,10,0),"NA"))</f>
        <v/>
      </c>
      <c r="Q412" s="34" t="str">
        <f>IF(A412="","",IFERROR(VLOOKUP(A412,'表3（采购界面）'!A:Z,11,0),"NA"))</f>
        <v/>
      </c>
      <c r="R412" s="34" t="str">
        <f t="shared" si="60"/>
        <v/>
      </c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</row>
    <row r="413" spans="10:33" x14ac:dyDescent="0.2">
      <c r="J413" s="34"/>
      <c r="K413" s="34" t="str">
        <f t="shared" si="57"/>
        <v/>
      </c>
      <c r="L413" s="34" t="str">
        <f t="shared" si="55"/>
        <v/>
      </c>
      <c r="M413" s="34" t="str">
        <f t="shared" si="58"/>
        <v/>
      </c>
      <c r="N413" s="34" t="str">
        <f t="shared" si="59"/>
        <v/>
      </c>
      <c r="O413" s="34" t="str">
        <f t="shared" si="56"/>
        <v/>
      </c>
      <c r="P413" s="34" t="str">
        <f>IF(A413="","",IFERROR(VLOOKUP(A413,'表3（采购界面）'!A:J,10,0),"NA"))</f>
        <v/>
      </c>
      <c r="Q413" s="34" t="str">
        <f>IF(A413="","",IFERROR(VLOOKUP(A413,'表3（采购界面）'!A:Z,11,0),"NA"))</f>
        <v/>
      </c>
      <c r="R413" s="34" t="str">
        <f t="shared" si="60"/>
        <v/>
      </c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</row>
    <row r="414" spans="10:33" x14ac:dyDescent="0.2">
      <c r="J414" s="34"/>
      <c r="K414" s="34" t="str">
        <f t="shared" si="57"/>
        <v/>
      </c>
      <c r="L414" s="34" t="str">
        <f t="shared" si="55"/>
        <v/>
      </c>
      <c r="M414" s="34" t="str">
        <f t="shared" si="58"/>
        <v/>
      </c>
      <c r="N414" s="34" t="str">
        <f t="shared" si="59"/>
        <v/>
      </c>
      <c r="O414" s="34" t="str">
        <f t="shared" si="56"/>
        <v/>
      </c>
      <c r="P414" s="34" t="str">
        <f>IF(A414="","",IFERROR(VLOOKUP(A414,'表3（采购界面）'!A:J,10,0),"NA"))</f>
        <v/>
      </c>
      <c r="Q414" s="34" t="str">
        <f>IF(A414="","",IFERROR(VLOOKUP(A414,'表3（采购界面）'!A:Z,11,0),"NA"))</f>
        <v/>
      </c>
      <c r="R414" s="34" t="str">
        <f t="shared" si="60"/>
        <v/>
      </c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</row>
    <row r="415" spans="10:33" x14ac:dyDescent="0.2">
      <c r="J415" s="34"/>
      <c r="K415" s="34" t="str">
        <f t="shared" si="57"/>
        <v/>
      </c>
      <c r="L415" s="34" t="str">
        <f t="shared" si="55"/>
        <v/>
      </c>
      <c r="M415" s="34" t="str">
        <f t="shared" si="58"/>
        <v/>
      </c>
      <c r="N415" s="34" t="str">
        <f t="shared" si="59"/>
        <v/>
      </c>
      <c r="O415" s="34" t="str">
        <f t="shared" si="56"/>
        <v/>
      </c>
      <c r="P415" s="34" t="str">
        <f>IF(A415="","",IFERROR(VLOOKUP(A415,'表3（采购界面）'!A:J,10,0),"NA"))</f>
        <v/>
      </c>
      <c r="Q415" s="34" t="str">
        <f>IF(A415="","",IFERROR(VLOOKUP(A415,'表3（采购界面）'!A:Z,11,0),"NA"))</f>
        <v/>
      </c>
      <c r="R415" s="34" t="str">
        <f t="shared" si="60"/>
        <v/>
      </c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</row>
    <row r="416" spans="10:33" x14ac:dyDescent="0.2">
      <c r="J416" s="34"/>
      <c r="K416" s="34" t="str">
        <f t="shared" si="57"/>
        <v/>
      </c>
      <c r="L416" s="34" t="str">
        <f t="shared" si="55"/>
        <v/>
      </c>
      <c r="M416" s="34" t="str">
        <f t="shared" si="58"/>
        <v/>
      </c>
      <c r="N416" s="34" t="str">
        <f t="shared" si="59"/>
        <v/>
      </c>
      <c r="O416" s="34" t="str">
        <f t="shared" si="56"/>
        <v/>
      </c>
      <c r="P416" s="34" t="str">
        <f>IF(A416="","",IFERROR(VLOOKUP(A416,'表3（采购界面）'!A:J,10,0),"NA"))</f>
        <v/>
      </c>
      <c r="Q416" s="34" t="str">
        <f>IF(A416="","",IFERROR(VLOOKUP(A416,'表3（采购界面）'!A:Z,11,0),"NA"))</f>
        <v/>
      </c>
      <c r="R416" s="34" t="str">
        <f t="shared" si="60"/>
        <v/>
      </c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</row>
    <row r="417" spans="10:33" x14ac:dyDescent="0.2">
      <c r="J417" s="34"/>
      <c r="K417" s="34" t="str">
        <f t="shared" si="57"/>
        <v/>
      </c>
      <c r="L417" s="34" t="str">
        <f t="shared" si="55"/>
        <v/>
      </c>
      <c r="M417" s="34" t="str">
        <f t="shared" si="58"/>
        <v/>
      </c>
      <c r="N417" s="34" t="str">
        <f t="shared" si="59"/>
        <v/>
      </c>
      <c r="O417" s="34" t="str">
        <f t="shared" si="56"/>
        <v/>
      </c>
      <c r="P417" s="34" t="str">
        <f>IF(A417="","",IFERROR(VLOOKUP(A417,'表3（采购界面）'!A:J,10,0),"NA"))</f>
        <v/>
      </c>
      <c r="Q417" s="34" t="str">
        <f>IF(A417="","",IFERROR(VLOOKUP(A417,'表3（采购界面）'!A:Z,11,0),"NA"))</f>
        <v/>
      </c>
      <c r="R417" s="34" t="str">
        <f t="shared" si="60"/>
        <v/>
      </c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</row>
    <row r="418" spans="10:33" x14ac:dyDescent="0.2">
      <c r="J418" s="34"/>
      <c r="K418" s="34" t="str">
        <f t="shared" si="57"/>
        <v/>
      </c>
      <c r="L418" s="34" t="str">
        <f t="shared" si="55"/>
        <v/>
      </c>
      <c r="M418" s="34" t="str">
        <f t="shared" si="58"/>
        <v/>
      </c>
      <c r="N418" s="34" t="str">
        <f t="shared" si="59"/>
        <v/>
      </c>
      <c r="O418" s="34" t="str">
        <f t="shared" si="56"/>
        <v/>
      </c>
      <c r="P418" s="34" t="str">
        <f>IF(A418="","",IFERROR(VLOOKUP(A418,'表3（采购界面）'!A:J,10,0),"NA"))</f>
        <v/>
      </c>
      <c r="Q418" s="34" t="str">
        <f>IF(A418="","",IFERROR(VLOOKUP(A418,'表3（采购界面）'!A:Z,11,0),"NA"))</f>
        <v/>
      </c>
      <c r="R418" s="34" t="str">
        <f t="shared" si="60"/>
        <v/>
      </c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</row>
    <row r="419" spans="10:33" x14ac:dyDescent="0.2">
      <c r="J419" s="34"/>
      <c r="K419" s="34" t="str">
        <f t="shared" si="57"/>
        <v/>
      </c>
      <c r="L419" s="34" t="str">
        <f t="shared" si="55"/>
        <v/>
      </c>
      <c r="M419" s="34" t="str">
        <f t="shared" si="58"/>
        <v/>
      </c>
      <c r="N419" s="34" t="str">
        <f t="shared" si="59"/>
        <v/>
      </c>
      <c r="O419" s="34" t="str">
        <f t="shared" si="56"/>
        <v/>
      </c>
      <c r="P419" s="34" t="str">
        <f>IF(A419="","",IFERROR(VLOOKUP(A419,'表3（采购界面）'!A:J,10,0),"NA"))</f>
        <v/>
      </c>
      <c r="Q419" s="34" t="str">
        <f>IF(A419="","",IFERROR(VLOOKUP(A419,'表3（采购界面）'!A:Z,11,0),"NA"))</f>
        <v/>
      </c>
      <c r="R419" s="34" t="str">
        <f t="shared" si="60"/>
        <v/>
      </c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</row>
    <row r="420" spans="10:33" x14ac:dyDescent="0.2">
      <c r="J420" s="34"/>
      <c r="K420" s="34" t="str">
        <f t="shared" si="57"/>
        <v/>
      </c>
      <c r="L420" s="34" t="str">
        <f t="shared" si="55"/>
        <v/>
      </c>
      <c r="M420" s="34" t="str">
        <f t="shared" si="58"/>
        <v/>
      </c>
      <c r="N420" s="34" t="str">
        <f t="shared" si="59"/>
        <v/>
      </c>
      <c r="O420" s="34" t="str">
        <f t="shared" si="56"/>
        <v/>
      </c>
      <c r="P420" s="34" t="str">
        <f>IF(A420="","",IFERROR(VLOOKUP(A420,'表3（采购界面）'!A:J,10,0),"NA"))</f>
        <v/>
      </c>
      <c r="Q420" s="34" t="str">
        <f>IF(A420="","",IFERROR(VLOOKUP(A420,'表3（采购界面）'!A:Z,11,0),"NA"))</f>
        <v/>
      </c>
      <c r="R420" s="34" t="str">
        <f t="shared" si="60"/>
        <v/>
      </c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</row>
    <row r="421" spans="10:33" x14ac:dyDescent="0.2">
      <c r="J421" s="34"/>
      <c r="K421" s="34" t="str">
        <f t="shared" si="57"/>
        <v/>
      </c>
      <c r="L421" s="34" t="str">
        <f t="shared" si="55"/>
        <v/>
      </c>
      <c r="M421" s="34" t="str">
        <f t="shared" si="58"/>
        <v/>
      </c>
      <c r="N421" s="34" t="str">
        <f t="shared" si="59"/>
        <v/>
      </c>
      <c r="O421" s="34" t="str">
        <f t="shared" si="56"/>
        <v/>
      </c>
      <c r="P421" s="34" t="str">
        <f>IF(A421="","",IFERROR(VLOOKUP(A421,'表3（采购界面）'!A:J,10,0),"NA"))</f>
        <v/>
      </c>
      <c r="Q421" s="34" t="str">
        <f>IF(A421="","",IFERROR(VLOOKUP(A421,'表3（采购界面）'!A:Z,11,0),"NA"))</f>
        <v/>
      </c>
      <c r="R421" s="34" t="str">
        <f t="shared" si="60"/>
        <v/>
      </c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</row>
    <row r="422" spans="10:33" x14ac:dyDescent="0.2">
      <c r="J422" s="34"/>
      <c r="K422" s="34" t="str">
        <f t="shared" si="57"/>
        <v/>
      </c>
      <c r="L422" s="34" t="str">
        <f t="shared" si="55"/>
        <v/>
      </c>
      <c r="M422" s="34" t="str">
        <f t="shared" si="58"/>
        <v/>
      </c>
      <c r="N422" s="34" t="str">
        <f t="shared" si="59"/>
        <v/>
      </c>
      <c r="O422" s="34" t="str">
        <f t="shared" si="56"/>
        <v/>
      </c>
      <c r="P422" s="34" t="str">
        <f>IF(A422="","",IFERROR(VLOOKUP(A422,'表3（采购界面）'!A:J,10,0),"NA"))</f>
        <v/>
      </c>
      <c r="Q422" s="34" t="str">
        <f>IF(A422="","",IFERROR(VLOOKUP(A422,'表3（采购界面）'!A:Z,11,0),"NA"))</f>
        <v/>
      </c>
      <c r="R422" s="34" t="str">
        <f t="shared" si="60"/>
        <v/>
      </c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</row>
    <row r="423" spans="10:33" x14ac:dyDescent="0.2">
      <c r="J423" s="34"/>
      <c r="K423" s="34" t="str">
        <f t="shared" si="57"/>
        <v/>
      </c>
      <c r="L423" s="34" t="str">
        <f t="shared" si="55"/>
        <v/>
      </c>
      <c r="M423" s="34" t="str">
        <f t="shared" si="58"/>
        <v/>
      </c>
      <c r="N423" s="34" t="str">
        <f t="shared" si="59"/>
        <v/>
      </c>
      <c r="O423" s="34" t="str">
        <f t="shared" si="56"/>
        <v/>
      </c>
      <c r="P423" s="34" t="str">
        <f>IF(A423="","",IFERROR(VLOOKUP(A423,'表3（采购界面）'!A:J,10,0),"NA"))</f>
        <v/>
      </c>
      <c r="Q423" s="34" t="str">
        <f>IF(A423="","",IFERROR(VLOOKUP(A423,'表3（采购界面）'!A:Z,11,0),"NA"))</f>
        <v/>
      </c>
      <c r="R423" s="34" t="str">
        <f t="shared" si="60"/>
        <v/>
      </c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</row>
    <row r="424" spans="10:33" x14ac:dyDescent="0.2">
      <c r="J424" s="34"/>
      <c r="K424" s="34" t="str">
        <f t="shared" si="57"/>
        <v/>
      </c>
      <c r="L424" s="34" t="str">
        <f t="shared" si="55"/>
        <v/>
      </c>
      <c r="M424" s="34" t="str">
        <f t="shared" si="58"/>
        <v/>
      </c>
      <c r="N424" s="34" t="str">
        <f t="shared" si="59"/>
        <v/>
      </c>
      <c r="O424" s="34" t="str">
        <f t="shared" si="56"/>
        <v/>
      </c>
      <c r="P424" s="34" t="str">
        <f>IF(A424="","",IFERROR(VLOOKUP(A424,'表3（采购界面）'!A:J,10,0),"NA"))</f>
        <v/>
      </c>
      <c r="Q424" s="34" t="str">
        <f>IF(A424="","",IFERROR(VLOOKUP(A424,'表3（采购界面）'!A:Z,11,0),"NA"))</f>
        <v/>
      </c>
      <c r="R424" s="34" t="str">
        <f t="shared" si="60"/>
        <v/>
      </c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</row>
    <row r="425" spans="10:33" x14ac:dyDescent="0.2">
      <c r="J425" s="34"/>
      <c r="K425" s="34" t="str">
        <f t="shared" si="57"/>
        <v/>
      </c>
      <c r="L425" s="34" t="str">
        <f t="shared" si="55"/>
        <v/>
      </c>
      <c r="M425" s="34" t="str">
        <f t="shared" si="58"/>
        <v/>
      </c>
      <c r="N425" s="34" t="str">
        <f t="shared" si="59"/>
        <v/>
      </c>
      <c r="O425" s="34" t="str">
        <f t="shared" si="56"/>
        <v/>
      </c>
      <c r="P425" s="34" t="str">
        <f>IF(A425="","",IFERROR(VLOOKUP(A425,'表3（采购界面）'!A:J,10,0),"NA"))</f>
        <v/>
      </c>
      <c r="Q425" s="34" t="str">
        <f>IF(A425="","",IFERROR(VLOOKUP(A425,'表3（采购界面）'!A:Z,11,0),"NA"))</f>
        <v/>
      </c>
      <c r="R425" s="34" t="str">
        <f t="shared" si="60"/>
        <v/>
      </c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</row>
    <row r="426" spans="10:33" x14ac:dyDescent="0.2">
      <c r="J426" s="34"/>
      <c r="K426" s="34" t="str">
        <f t="shared" si="57"/>
        <v/>
      </c>
      <c r="L426" s="34" t="str">
        <f t="shared" si="55"/>
        <v/>
      </c>
      <c r="M426" s="34" t="str">
        <f t="shared" si="58"/>
        <v/>
      </c>
      <c r="N426" s="34" t="str">
        <f t="shared" si="59"/>
        <v/>
      </c>
      <c r="O426" s="34" t="str">
        <f t="shared" si="56"/>
        <v/>
      </c>
      <c r="P426" s="34" t="str">
        <f>IF(A426="","",IFERROR(VLOOKUP(A426,'表3（采购界面）'!A:J,10,0),"NA"))</f>
        <v/>
      </c>
      <c r="Q426" s="34" t="str">
        <f>IF(A426="","",IFERROR(VLOOKUP(A426,'表3（采购界面）'!A:Z,11,0),"NA"))</f>
        <v/>
      </c>
      <c r="R426" s="34" t="str">
        <f t="shared" si="60"/>
        <v/>
      </c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</row>
    <row r="427" spans="10:33" x14ac:dyDescent="0.2">
      <c r="J427" s="34"/>
      <c r="K427" s="34" t="str">
        <f t="shared" si="57"/>
        <v/>
      </c>
      <c r="L427" s="34" t="str">
        <f t="shared" si="55"/>
        <v/>
      </c>
      <c r="M427" s="34" t="str">
        <f t="shared" si="58"/>
        <v/>
      </c>
      <c r="N427" s="34" t="str">
        <f t="shared" si="59"/>
        <v/>
      </c>
      <c r="O427" s="34" t="str">
        <f t="shared" si="56"/>
        <v/>
      </c>
      <c r="P427" s="34" t="str">
        <f>IF(A427="","",IFERROR(VLOOKUP(A427,'表3（采购界面）'!A:J,10,0),"NA"))</f>
        <v/>
      </c>
      <c r="Q427" s="34" t="str">
        <f>IF(A427="","",IFERROR(VLOOKUP(A427,'表3（采购界面）'!A:Z,11,0),"NA"))</f>
        <v/>
      </c>
      <c r="R427" s="34" t="str">
        <f t="shared" si="60"/>
        <v/>
      </c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</row>
    <row r="428" spans="10:33" x14ac:dyDescent="0.2">
      <c r="J428" s="34"/>
      <c r="K428" s="34" t="str">
        <f t="shared" si="57"/>
        <v/>
      </c>
      <c r="L428" s="34" t="str">
        <f t="shared" si="55"/>
        <v/>
      </c>
      <c r="M428" s="34" t="str">
        <f t="shared" si="58"/>
        <v/>
      </c>
      <c r="N428" s="34" t="str">
        <f t="shared" si="59"/>
        <v/>
      </c>
      <c r="O428" s="34" t="str">
        <f t="shared" si="56"/>
        <v/>
      </c>
      <c r="P428" s="34" t="str">
        <f>IF(A428="","",IFERROR(VLOOKUP(A428,'表3（采购界面）'!A:J,10,0),"NA"))</f>
        <v/>
      </c>
      <c r="Q428" s="34" t="str">
        <f>IF(A428="","",IFERROR(VLOOKUP(A428,'表3（采购界面）'!A:Z,11,0),"NA"))</f>
        <v/>
      </c>
      <c r="R428" s="34" t="str">
        <f t="shared" si="60"/>
        <v/>
      </c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</row>
    <row r="429" spans="10:33" x14ac:dyDescent="0.2">
      <c r="J429" s="34"/>
      <c r="K429" s="34" t="str">
        <f t="shared" si="57"/>
        <v/>
      </c>
      <c r="L429" s="34" t="str">
        <f t="shared" si="55"/>
        <v/>
      </c>
      <c r="M429" s="34" t="str">
        <f t="shared" si="58"/>
        <v/>
      </c>
      <c r="N429" s="34" t="str">
        <f t="shared" si="59"/>
        <v/>
      </c>
      <c r="O429" s="34" t="str">
        <f t="shared" si="56"/>
        <v/>
      </c>
      <c r="P429" s="34" t="str">
        <f>IF(A429="","",IFERROR(VLOOKUP(A429,'表3（采购界面）'!A:J,10,0),"NA"))</f>
        <v/>
      </c>
      <c r="Q429" s="34" t="str">
        <f>IF(A429="","",IFERROR(VLOOKUP(A429,'表3（采购界面）'!A:Z,11,0),"NA"))</f>
        <v/>
      </c>
      <c r="R429" s="34" t="str">
        <f t="shared" si="60"/>
        <v/>
      </c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</row>
    <row r="430" spans="10:33" x14ac:dyDescent="0.2">
      <c r="J430" s="34"/>
      <c r="K430" s="34" t="str">
        <f t="shared" si="57"/>
        <v/>
      </c>
      <c r="L430" s="34" t="str">
        <f t="shared" si="55"/>
        <v/>
      </c>
      <c r="M430" s="34" t="str">
        <f t="shared" si="58"/>
        <v/>
      </c>
      <c r="N430" s="34" t="str">
        <f t="shared" si="59"/>
        <v/>
      </c>
      <c r="O430" s="34" t="str">
        <f t="shared" si="56"/>
        <v/>
      </c>
      <c r="P430" s="34" t="str">
        <f>IF(A430="","",IFERROR(VLOOKUP(A430,'表3（采购界面）'!A:J,10,0),"NA"))</f>
        <v/>
      </c>
      <c r="Q430" s="34" t="str">
        <f>IF(A430="","",IFERROR(VLOOKUP(A430,'表3（采购界面）'!A:Z,11,0),"NA"))</f>
        <v/>
      </c>
      <c r="R430" s="34" t="str">
        <f t="shared" si="60"/>
        <v/>
      </c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</row>
    <row r="431" spans="10:33" x14ac:dyDescent="0.2">
      <c r="J431" s="34"/>
      <c r="K431" s="34" t="str">
        <f t="shared" si="57"/>
        <v/>
      </c>
      <c r="L431" s="34" t="str">
        <f t="shared" si="55"/>
        <v/>
      </c>
      <c r="M431" s="34" t="str">
        <f t="shared" si="58"/>
        <v/>
      </c>
      <c r="N431" s="34" t="str">
        <f t="shared" si="59"/>
        <v/>
      </c>
      <c r="O431" s="34" t="str">
        <f t="shared" si="56"/>
        <v/>
      </c>
      <c r="P431" s="34" t="str">
        <f>IF(A431="","",IFERROR(VLOOKUP(A431,'表3（采购界面）'!A:J,10,0),"NA"))</f>
        <v/>
      </c>
      <c r="Q431" s="34" t="str">
        <f>IF(A431="","",IFERROR(VLOOKUP(A431,'表3（采购界面）'!A:Z,11,0),"NA"))</f>
        <v/>
      </c>
      <c r="R431" s="34" t="str">
        <f t="shared" si="60"/>
        <v/>
      </c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</row>
    <row r="432" spans="10:33" x14ac:dyDescent="0.2">
      <c r="J432" s="34"/>
      <c r="K432" s="34" t="str">
        <f t="shared" si="57"/>
        <v/>
      </c>
      <c r="L432" s="34" t="str">
        <f t="shared" si="55"/>
        <v/>
      </c>
      <c r="M432" s="34" t="str">
        <f t="shared" si="58"/>
        <v/>
      </c>
      <c r="N432" s="34" t="str">
        <f t="shared" si="59"/>
        <v/>
      </c>
      <c r="O432" s="34" t="str">
        <f t="shared" si="56"/>
        <v/>
      </c>
      <c r="P432" s="34" t="str">
        <f>IF(A432="","",IFERROR(VLOOKUP(A432,'表3（采购界面）'!A:J,10,0),"NA"))</f>
        <v/>
      </c>
      <c r="Q432" s="34" t="str">
        <f>IF(A432="","",IFERROR(VLOOKUP(A432,'表3（采购界面）'!A:Z,11,0),"NA"))</f>
        <v/>
      </c>
      <c r="R432" s="34" t="str">
        <f t="shared" si="60"/>
        <v/>
      </c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</row>
    <row r="433" spans="10:33" x14ac:dyDescent="0.2">
      <c r="J433" s="34"/>
      <c r="K433" s="34" t="str">
        <f t="shared" si="57"/>
        <v/>
      </c>
      <c r="L433" s="34" t="str">
        <f t="shared" si="55"/>
        <v/>
      </c>
      <c r="M433" s="34" t="str">
        <f t="shared" si="58"/>
        <v/>
      </c>
      <c r="N433" s="34" t="str">
        <f t="shared" si="59"/>
        <v/>
      </c>
      <c r="O433" s="34" t="str">
        <f t="shared" si="56"/>
        <v/>
      </c>
      <c r="P433" s="34" t="str">
        <f>IF(A433="","",IFERROR(VLOOKUP(A433,'表3（采购界面）'!A:J,10,0),"NA"))</f>
        <v/>
      </c>
      <c r="Q433" s="34" t="str">
        <f>IF(A433="","",IFERROR(VLOOKUP(A433,'表3（采购界面）'!A:Z,11,0),"NA"))</f>
        <v/>
      </c>
      <c r="R433" s="34" t="str">
        <f t="shared" si="60"/>
        <v/>
      </c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</row>
    <row r="434" spans="10:33" x14ac:dyDescent="0.2">
      <c r="J434" s="34"/>
      <c r="K434" s="34" t="str">
        <f t="shared" si="57"/>
        <v/>
      </c>
      <c r="L434" s="34" t="str">
        <f t="shared" si="55"/>
        <v/>
      </c>
      <c r="M434" s="34" t="str">
        <f t="shared" si="58"/>
        <v/>
      </c>
      <c r="N434" s="34" t="str">
        <f t="shared" si="59"/>
        <v/>
      </c>
      <c r="O434" s="34" t="str">
        <f t="shared" si="56"/>
        <v/>
      </c>
      <c r="P434" s="34" t="str">
        <f>IF(A434="","",IFERROR(VLOOKUP(A434,'表3（采购界面）'!A:J,10,0),"NA"))</f>
        <v/>
      </c>
      <c r="Q434" s="34" t="str">
        <f>IF(A434="","",IFERROR(VLOOKUP(A434,'表3（采购界面）'!A:Z,11,0),"NA"))</f>
        <v/>
      </c>
      <c r="R434" s="34" t="str">
        <f t="shared" si="60"/>
        <v/>
      </c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</row>
    <row r="435" spans="10:33" x14ac:dyDescent="0.2">
      <c r="J435" s="34"/>
      <c r="K435" s="34" t="str">
        <f t="shared" si="57"/>
        <v/>
      </c>
      <c r="L435" s="34" t="str">
        <f t="shared" si="55"/>
        <v/>
      </c>
      <c r="M435" s="34" t="str">
        <f t="shared" si="58"/>
        <v/>
      </c>
      <c r="N435" s="34" t="str">
        <f t="shared" si="59"/>
        <v/>
      </c>
      <c r="O435" s="34" t="str">
        <f t="shared" si="56"/>
        <v/>
      </c>
      <c r="P435" s="34" t="str">
        <f>IF(A435="","",IFERROR(VLOOKUP(A435,'表3（采购界面）'!A:J,10,0),"NA"))</f>
        <v/>
      </c>
      <c r="Q435" s="34" t="str">
        <f>IF(A435="","",IFERROR(VLOOKUP(A435,'表3（采购界面）'!A:Z,11,0),"NA"))</f>
        <v/>
      </c>
      <c r="R435" s="34" t="str">
        <f t="shared" si="60"/>
        <v/>
      </c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</row>
    <row r="436" spans="10:33" x14ac:dyDescent="0.2">
      <c r="J436" s="34"/>
      <c r="K436" s="34" t="str">
        <f t="shared" si="57"/>
        <v/>
      </c>
      <c r="L436" s="34" t="str">
        <f t="shared" si="55"/>
        <v/>
      </c>
      <c r="M436" s="34" t="str">
        <f t="shared" si="58"/>
        <v/>
      </c>
      <c r="N436" s="34" t="str">
        <f t="shared" si="59"/>
        <v/>
      </c>
      <c r="O436" s="34" t="str">
        <f t="shared" si="56"/>
        <v/>
      </c>
      <c r="P436" s="34" t="str">
        <f>IF(A436="","",IFERROR(VLOOKUP(A436,'表3（采购界面）'!A:J,10,0),"NA"))</f>
        <v/>
      </c>
      <c r="Q436" s="34" t="str">
        <f>IF(A436="","",IFERROR(VLOOKUP(A436,'表3（采购界面）'!A:Z,11,0),"NA"))</f>
        <v/>
      </c>
      <c r="R436" s="34" t="str">
        <f t="shared" si="60"/>
        <v/>
      </c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</row>
    <row r="437" spans="10:33" x14ac:dyDescent="0.2">
      <c r="J437" s="34"/>
      <c r="K437" s="34" t="str">
        <f t="shared" si="57"/>
        <v/>
      </c>
      <c r="L437" s="34" t="str">
        <f t="shared" si="55"/>
        <v/>
      </c>
      <c r="M437" s="34" t="str">
        <f t="shared" si="58"/>
        <v/>
      </c>
      <c r="N437" s="34" t="str">
        <f t="shared" si="59"/>
        <v/>
      </c>
      <c r="O437" s="34" t="str">
        <f t="shared" si="56"/>
        <v/>
      </c>
      <c r="P437" s="34" t="str">
        <f>IF(A437="","",IFERROR(VLOOKUP(A437,'表3（采购界面）'!A:J,10,0),"NA"))</f>
        <v/>
      </c>
      <c r="Q437" s="34" t="str">
        <f>IF(A437="","",IFERROR(VLOOKUP(A437,'表3（采购界面）'!A:Z,11,0),"NA"))</f>
        <v/>
      </c>
      <c r="R437" s="34" t="str">
        <f t="shared" si="60"/>
        <v/>
      </c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</row>
    <row r="438" spans="10:33" x14ac:dyDescent="0.2">
      <c r="J438" s="34"/>
      <c r="K438" s="34" t="str">
        <f t="shared" si="57"/>
        <v/>
      </c>
      <c r="L438" s="34" t="str">
        <f t="shared" si="55"/>
        <v/>
      </c>
      <c r="M438" s="34" t="str">
        <f t="shared" si="58"/>
        <v/>
      </c>
      <c r="N438" s="34" t="str">
        <f t="shared" si="59"/>
        <v/>
      </c>
      <c r="O438" s="34" t="str">
        <f t="shared" si="56"/>
        <v/>
      </c>
      <c r="P438" s="34" t="str">
        <f>IF(A438="","",IFERROR(VLOOKUP(A438,'表3（采购界面）'!A:J,10,0),"NA"))</f>
        <v/>
      </c>
      <c r="Q438" s="34" t="str">
        <f>IF(A438="","",IFERROR(VLOOKUP(A438,'表3（采购界面）'!A:Z,11,0),"NA"))</f>
        <v/>
      </c>
      <c r="R438" s="34" t="str">
        <f t="shared" si="60"/>
        <v/>
      </c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</row>
    <row r="439" spans="10:33" x14ac:dyDescent="0.2">
      <c r="J439" s="34"/>
      <c r="K439" s="34" t="str">
        <f t="shared" si="57"/>
        <v/>
      </c>
      <c r="L439" s="34" t="str">
        <f t="shared" si="55"/>
        <v/>
      </c>
      <c r="M439" s="34" t="str">
        <f t="shared" si="58"/>
        <v/>
      </c>
      <c r="N439" s="34" t="str">
        <f t="shared" si="59"/>
        <v/>
      </c>
      <c r="O439" s="34" t="str">
        <f t="shared" si="56"/>
        <v/>
      </c>
      <c r="P439" s="34" t="str">
        <f>IF(A439="","",IFERROR(VLOOKUP(A439,'表3（采购界面）'!A:J,10,0),"NA"))</f>
        <v/>
      </c>
      <c r="Q439" s="34" t="str">
        <f>IF(A439="","",IFERROR(VLOOKUP(A439,'表3（采购界面）'!A:Z,11,0),"NA"))</f>
        <v/>
      </c>
      <c r="R439" s="34" t="str">
        <f t="shared" si="60"/>
        <v/>
      </c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</row>
    <row r="440" spans="10:33" x14ac:dyDescent="0.2">
      <c r="J440" s="34"/>
      <c r="K440" s="34" t="str">
        <f t="shared" si="57"/>
        <v/>
      </c>
      <c r="L440" s="34" t="str">
        <f t="shared" si="55"/>
        <v/>
      </c>
      <c r="M440" s="34" t="str">
        <f t="shared" si="58"/>
        <v/>
      </c>
      <c r="N440" s="34" t="str">
        <f t="shared" si="59"/>
        <v/>
      </c>
      <c r="O440" s="34" t="str">
        <f t="shared" si="56"/>
        <v/>
      </c>
      <c r="P440" s="34" t="str">
        <f>IF(A440="","",IFERROR(VLOOKUP(A440,'表3（采购界面）'!A:J,10,0),"NA"))</f>
        <v/>
      </c>
      <c r="Q440" s="34" t="str">
        <f>IF(A440="","",IFERROR(VLOOKUP(A440,'表3（采购界面）'!A:Z,11,0),"NA"))</f>
        <v/>
      </c>
      <c r="R440" s="34" t="str">
        <f t="shared" si="60"/>
        <v/>
      </c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</row>
    <row r="441" spans="10:33" x14ac:dyDescent="0.2">
      <c r="J441" s="34"/>
      <c r="K441" s="34" t="str">
        <f t="shared" si="57"/>
        <v/>
      </c>
      <c r="L441" s="34" t="str">
        <f t="shared" si="55"/>
        <v/>
      </c>
      <c r="M441" s="34" t="str">
        <f t="shared" si="58"/>
        <v/>
      </c>
      <c r="N441" s="34" t="str">
        <f t="shared" si="59"/>
        <v/>
      </c>
      <c r="O441" s="34" t="str">
        <f t="shared" si="56"/>
        <v/>
      </c>
      <c r="P441" s="34" t="str">
        <f>IF(A441="","",IFERROR(VLOOKUP(A441,'表3（采购界面）'!A:J,10,0),"NA"))</f>
        <v/>
      </c>
      <c r="Q441" s="34" t="str">
        <f>IF(A441="","",IFERROR(VLOOKUP(A441,'表3（采购界面）'!A:Z,11,0),"NA"))</f>
        <v/>
      </c>
      <c r="R441" s="34" t="str">
        <f t="shared" si="60"/>
        <v/>
      </c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</row>
    <row r="442" spans="10:33" x14ac:dyDescent="0.2">
      <c r="J442" s="34"/>
      <c r="K442" s="34" t="str">
        <f t="shared" si="57"/>
        <v/>
      </c>
      <c r="L442" s="34" t="str">
        <f t="shared" si="55"/>
        <v/>
      </c>
      <c r="M442" s="34" t="str">
        <f t="shared" si="58"/>
        <v/>
      </c>
      <c r="N442" s="34" t="str">
        <f t="shared" si="59"/>
        <v/>
      </c>
      <c r="O442" s="34" t="str">
        <f t="shared" si="56"/>
        <v/>
      </c>
      <c r="P442" s="34" t="str">
        <f>IF(A442="","",IFERROR(VLOOKUP(A442,'表3（采购界面）'!A:J,10,0),"NA"))</f>
        <v/>
      </c>
      <c r="Q442" s="34" t="str">
        <f>IF(A442="","",IFERROR(VLOOKUP(A442,'表3（采购界面）'!A:Z,11,0),"NA"))</f>
        <v/>
      </c>
      <c r="R442" s="34" t="str">
        <f t="shared" si="60"/>
        <v/>
      </c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</row>
    <row r="443" spans="10:33" x14ac:dyDescent="0.2">
      <c r="J443" s="34"/>
      <c r="K443" s="34" t="str">
        <f t="shared" si="57"/>
        <v/>
      </c>
      <c r="L443" s="34" t="str">
        <f t="shared" si="55"/>
        <v/>
      </c>
      <c r="M443" s="34" t="str">
        <f t="shared" si="58"/>
        <v/>
      </c>
      <c r="N443" s="34" t="str">
        <f t="shared" si="59"/>
        <v/>
      </c>
      <c r="O443" s="34" t="str">
        <f t="shared" si="56"/>
        <v/>
      </c>
      <c r="P443" s="34" t="str">
        <f>IF(A443="","",IFERROR(VLOOKUP(A443,'表3（采购界面）'!A:J,10,0),"NA"))</f>
        <v/>
      </c>
      <c r="Q443" s="34" t="str">
        <f>IF(A443="","",IFERROR(VLOOKUP(A443,'表3（采购界面）'!A:Z,11,0),"NA"))</f>
        <v/>
      </c>
      <c r="R443" s="34" t="str">
        <f t="shared" si="60"/>
        <v/>
      </c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</row>
    <row r="444" spans="10:33" x14ac:dyDescent="0.2">
      <c r="J444" s="34"/>
      <c r="K444" s="34" t="str">
        <f t="shared" si="57"/>
        <v/>
      </c>
      <c r="L444" s="34" t="str">
        <f t="shared" si="55"/>
        <v/>
      </c>
      <c r="M444" s="34" t="str">
        <f t="shared" si="58"/>
        <v/>
      </c>
      <c r="N444" s="34" t="str">
        <f t="shared" si="59"/>
        <v/>
      </c>
      <c r="O444" s="34" t="str">
        <f t="shared" si="56"/>
        <v/>
      </c>
      <c r="P444" s="34" t="str">
        <f>IF(A444="","",IFERROR(VLOOKUP(A444,'表3（采购界面）'!A:J,10,0),"NA"))</f>
        <v/>
      </c>
      <c r="Q444" s="34" t="str">
        <f>IF(A444="","",IFERROR(VLOOKUP(A444,'表3（采购界面）'!A:Z,11,0),"NA"))</f>
        <v/>
      </c>
      <c r="R444" s="34" t="str">
        <f t="shared" si="60"/>
        <v/>
      </c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</row>
    <row r="445" spans="10:33" x14ac:dyDescent="0.2">
      <c r="J445" s="34"/>
      <c r="K445" s="34" t="str">
        <f t="shared" si="57"/>
        <v/>
      </c>
      <c r="L445" s="34" t="str">
        <f t="shared" si="55"/>
        <v/>
      </c>
      <c r="M445" s="34" t="str">
        <f t="shared" si="58"/>
        <v/>
      </c>
      <c r="N445" s="34" t="str">
        <f t="shared" si="59"/>
        <v/>
      </c>
      <c r="O445" s="34" t="str">
        <f t="shared" si="56"/>
        <v/>
      </c>
      <c r="P445" s="34" t="str">
        <f>IF(A445="","",IFERROR(VLOOKUP(A445,'表3（采购界面）'!A:J,10,0),"NA"))</f>
        <v/>
      </c>
      <c r="Q445" s="34" t="str">
        <f>IF(A445="","",IFERROR(VLOOKUP(A445,'表3（采购界面）'!A:Z,11,0),"NA"))</f>
        <v/>
      </c>
      <c r="R445" s="34" t="str">
        <f t="shared" si="60"/>
        <v/>
      </c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</row>
    <row r="446" spans="10:33" x14ac:dyDescent="0.2">
      <c r="J446" s="34"/>
      <c r="K446" s="34" t="str">
        <f t="shared" si="57"/>
        <v/>
      </c>
      <c r="L446" s="34" t="str">
        <f t="shared" si="55"/>
        <v/>
      </c>
      <c r="M446" s="34" t="str">
        <f t="shared" si="58"/>
        <v/>
      </c>
      <c r="N446" s="34" t="str">
        <f t="shared" si="59"/>
        <v/>
      </c>
      <c r="O446" s="34" t="str">
        <f t="shared" si="56"/>
        <v/>
      </c>
      <c r="P446" s="34" t="str">
        <f>IF(A446="","",IFERROR(VLOOKUP(A446,'表3（采购界面）'!A:J,10,0),"NA"))</f>
        <v/>
      </c>
      <c r="Q446" s="34" t="str">
        <f>IF(A446="","",IFERROR(VLOOKUP(A446,'表3（采购界面）'!A:Z,11,0),"NA"))</f>
        <v/>
      </c>
      <c r="R446" s="34" t="str">
        <f t="shared" si="60"/>
        <v/>
      </c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</row>
    <row r="447" spans="10:33" x14ac:dyDescent="0.2">
      <c r="J447" s="34"/>
      <c r="K447" s="34" t="str">
        <f t="shared" si="57"/>
        <v/>
      </c>
      <c r="L447" s="34" t="str">
        <f t="shared" si="55"/>
        <v/>
      </c>
      <c r="M447" s="34" t="str">
        <f t="shared" si="58"/>
        <v/>
      </c>
      <c r="N447" s="34" t="str">
        <f t="shared" si="59"/>
        <v/>
      </c>
      <c r="O447" s="34" t="str">
        <f t="shared" si="56"/>
        <v/>
      </c>
      <c r="P447" s="34" t="str">
        <f>IF(A447="","",IFERROR(VLOOKUP(A447,'表3（采购界面）'!A:J,10,0),"NA"))</f>
        <v/>
      </c>
      <c r="Q447" s="34" t="str">
        <f>IF(A447="","",IFERROR(VLOOKUP(A447,'表3（采购界面）'!A:Z,11,0),"NA"))</f>
        <v/>
      </c>
      <c r="R447" s="34" t="str">
        <f t="shared" si="60"/>
        <v/>
      </c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</row>
    <row r="448" spans="10:33" x14ac:dyDescent="0.2">
      <c r="J448" s="34"/>
      <c r="K448" s="34" t="str">
        <f t="shared" si="57"/>
        <v/>
      </c>
      <c r="L448" s="34" t="str">
        <f t="shared" si="55"/>
        <v/>
      </c>
      <c r="M448" s="34" t="str">
        <f t="shared" si="58"/>
        <v/>
      </c>
      <c r="N448" s="34" t="str">
        <f t="shared" si="59"/>
        <v/>
      </c>
      <c r="O448" s="34" t="str">
        <f t="shared" si="56"/>
        <v/>
      </c>
      <c r="P448" s="34" t="str">
        <f>IF(A448="","",IFERROR(VLOOKUP(A448,'表3（采购界面）'!A:J,10,0),"NA"))</f>
        <v/>
      </c>
      <c r="Q448" s="34" t="str">
        <f>IF(A448="","",IFERROR(VLOOKUP(A448,'表3（采购界面）'!A:Z,11,0),"NA"))</f>
        <v/>
      </c>
      <c r="R448" s="34" t="str">
        <f t="shared" si="60"/>
        <v/>
      </c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</row>
    <row r="449" spans="10:33" x14ac:dyDescent="0.2">
      <c r="J449" s="34"/>
      <c r="K449" s="34" t="str">
        <f t="shared" si="57"/>
        <v/>
      </c>
      <c r="L449" s="34" t="str">
        <f t="shared" si="55"/>
        <v/>
      </c>
      <c r="M449" s="34" t="str">
        <f t="shared" si="58"/>
        <v/>
      </c>
      <c r="N449" s="34" t="str">
        <f t="shared" si="59"/>
        <v/>
      </c>
      <c r="O449" s="34" t="str">
        <f t="shared" si="56"/>
        <v/>
      </c>
      <c r="P449" s="34" t="str">
        <f>IF(A449="","",IFERROR(VLOOKUP(A449,'表3（采购界面）'!A:J,10,0),"NA"))</f>
        <v/>
      </c>
      <c r="Q449" s="34" t="str">
        <f>IF(A449="","",IFERROR(VLOOKUP(A449,'表3（采购界面）'!A:Z,11,0),"NA"))</f>
        <v/>
      </c>
      <c r="R449" s="34" t="str">
        <f t="shared" si="60"/>
        <v/>
      </c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</row>
    <row r="450" spans="10:33" x14ac:dyDescent="0.2">
      <c r="J450" s="34"/>
      <c r="K450" s="34" t="str">
        <f t="shared" si="57"/>
        <v/>
      </c>
      <c r="L450" s="34" t="str">
        <f t="shared" si="55"/>
        <v/>
      </c>
      <c r="M450" s="34" t="str">
        <f t="shared" si="58"/>
        <v/>
      </c>
      <c r="N450" s="34" t="str">
        <f t="shared" si="59"/>
        <v/>
      </c>
      <c r="O450" s="34" t="str">
        <f t="shared" si="56"/>
        <v/>
      </c>
      <c r="P450" s="34" t="str">
        <f>IF(A450="","",IFERROR(VLOOKUP(A450,'表3（采购界面）'!A:J,10,0),"NA"))</f>
        <v/>
      </c>
      <c r="Q450" s="34" t="str">
        <f>IF(A450="","",IFERROR(VLOOKUP(A450,'表3（采购界面）'!A:Z,11,0),"NA"))</f>
        <v/>
      </c>
      <c r="R450" s="34" t="str">
        <f t="shared" si="60"/>
        <v/>
      </c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</row>
    <row r="451" spans="10:33" x14ac:dyDescent="0.2">
      <c r="J451" s="34"/>
      <c r="K451" s="34" t="str">
        <f t="shared" si="57"/>
        <v/>
      </c>
      <c r="L451" s="34" t="str">
        <f t="shared" si="55"/>
        <v/>
      </c>
      <c r="M451" s="34" t="str">
        <f t="shared" si="58"/>
        <v/>
      </c>
      <c r="N451" s="34" t="str">
        <f t="shared" si="59"/>
        <v/>
      </c>
      <c r="O451" s="34" t="str">
        <f t="shared" si="56"/>
        <v/>
      </c>
      <c r="P451" s="34" t="str">
        <f>IF(A451="","",IFERROR(VLOOKUP(A451,'表3（采购界面）'!A:J,10,0),"NA"))</f>
        <v/>
      </c>
      <c r="Q451" s="34" t="str">
        <f>IF(A451="","",IFERROR(VLOOKUP(A451,'表3（采购界面）'!A:Z,11,0),"NA"))</f>
        <v/>
      </c>
      <c r="R451" s="34" t="str">
        <f t="shared" si="60"/>
        <v/>
      </c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</row>
    <row r="452" spans="10:33" x14ac:dyDescent="0.2">
      <c r="J452" s="34"/>
      <c r="K452" s="34" t="str">
        <f t="shared" si="57"/>
        <v/>
      </c>
      <c r="L452" s="34" t="str">
        <f t="shared" si="55"/>
        <v/>
      </c>
      <c r="M452" s="34" t="str">
        <f t="shared" si="58"/>
        <v/>
      </c>
      <c r="N452" s="34" t="str">
        <f t="shared" si="59"/>
        <v/>
      </c>
      <c r="O452" s="34" t="str">
        <f t="shared" si="56"/>
        <v/>
      </c>
      <c r="P452" s="34" t="str">
        <f>IF(A452="","",IFERROR(VLOOKUP(A452,'表3（采购界面）'!A:J,10,0),"NA"))</f>
        <v/>
      </c>
      <c r="Q452" s="34" t="str">
        <f>IF(A452="","",IFERROR(VLOOKUP(A452,'表3（采购界面）'!A:Z,11,0),"NA"))</f>
        <v/>
      </c>
      <c r="R452" s="34" t="str">
        <f t="shared" si="60"/>
        <v/>
      </c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</row>
    <row r="453" spans="10:33" x14ac:dyDescent="0.2">
      <c r="J453" s="34"/>
      <c r="K453" s="34" t="str">
        <f t="shared" si="57"/>
        <v/>
      </c>
      <c r="L453" s="34" t="str">
        <f t="shared" ref="L453:L516" si="61">_xlfn.IFS(LEFT(A453)="1","MB",LEFT(A453)="2","WB",LEFT(A453)="3","WB",AND(LEFT(A453)="4",D453&lt;&gt;"中国",J453&lt;&gt;"Y01"),"FX",A453&lt;&gt;"","EX",A453="","")</f>
        <v/>
      </c>
      <c r="M453" s="34" t="str">
        <f t="shared" si="58"/>
        <v/>
      </c>
      <c r="N453" s="34" t="str">
        <f t="shared" si="59"/>
        <v/>
      </c>
      <c r="O453" s="34" t="str">
        <f t="shared" ref="O453:O516" si="62">IF(OR(LEFT(A453,1)="4",LEFT(A453,1)="5"),"NA","")</f>
        <v/>
      </c>
      <c r="P453" s="34" t="str">
        <f>IF(A453="","",IFERROR(VLOOKUP(A453,'表3（采购界面）'!A:J,10,0),"NA"))</f>
        <v/>
      </c>
      <c r="Q453" s="34" t="str">
        <f>IF(A453="","",IFERROR(VLOOKUP(A453,'表3（采购界面）'!A:Z,11,0),"NA"))</f>
        <v/>
      </c>
      <c r="R453" s="34" t="str">
        <f t="shared" si="60"/>
        <v/>
      </c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</row>
    <row r="454" spans="10:33" x14ac:dyDescent="0.2">
      <c r="J454" s="34"/>
      <c r="K454" s="34" t="str">
        <f t="shared" ref="K454:K517" si="63">_xlfn.IFS(AND(LEFT(A454,1)="4",D454="中国"),"ND",AND(LEFT(A454,1)="5",D454="中国"),"ND",AND(LEFT(A454,1)="5",D454&lt;&gt;"中国"),"M2",A454="","",A454&lt;&gt;"","PD")</f>
        <v/>
      </c>
      <c r="L454" s="34" t="str">
        <f t="shared" si="61"/>
        <v/>
      </c>
      <c r="M454" s="34" t="str">
        <f t="shared" ref="M454:M517" si="64">IF(OR(L454="FX",L454=""),"","NA")</f>
        <v/>
      </c>
      <c r="N454" s="34" t="str">
        <f t="shared" ref="N454:N517" si="65">IF(A454="","","NA")</f>
        <v/>
      </c>
      <c r="O454" s="34" t="str">
        <f t="shared" si="62"/>
        <v/>
      </c>
      <c r="P454" s="34" t="str">
        <f>IF(A454="","",IFERROR(VLOOKUP(A454,'表3（采购界面）'!A:J,10,0),"NA"))</f>
        <v/>
      </c>
      <c r="Q454" s="34" t="str">
        <f>IF(A454="","",IFERROR(VLOOKUP(A454,'表3（采购界面）'!A:Z,11,0),"NA"))</f>
        <v/>
      </c>
      <c r="R454" s="34" t="str">
        <f t="shared" ref="R454:R517" si="66">IF(A454="","",IF(OR(LEFT(A454,1)="1",LEFT(A454,1)="2",LEFT(A454,1)="3"),"F","E"))</f>
        <v/>
      </c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</row>
    <row r="455" spans="10:33" x14ac:dyDescent="0.2">
      <c r="J455" s="34"/>
      <c r="K455" s="34" t="str">
        <f t="shared" si="63"/>
        <v/>
      </c>
      <c r="L455" s="34" t="str">
        <f t="shared" si="61"/>
        <v/>
      </c>
      <c r="M455" s="34" t="str">
        <f t="shared" si="64"/>
        <v/>
      </c>
      <c r="N455" s="34" t="str">
        <f t="shared" si="65"/>
        <v/>
      </c>
      <c r="O455" s="34" t="str">
        <f t="shared" si="62"/>
        <v/>
      </c>
      <c r="P455" s="34" t="str">
        <f>IF(A455="","",IFERROR(VLOOKUP(A455,'表3（采购界面）'!A:J,10,0),"NA"))</f>
        <v/>
      </c>
      <c r="Q455" s="34" t="str">
        <f>IF(A455="","",IFERROR(VLOOKUP(A455,'表3（采购界面）'!A:Z,11,0),"NA"))</f>
        <v/>
      </c>
      <c r="R455" s="34" t="str">
        <f t="shared" si="66"/>
        <v/>
      </c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</row>
    <row r="456" spans="10:33" x14ac:dyDescent="0.2">
      <c r="J456" s="34"/>
      <c r="K456" s="34" t="str">
        <f t="shared" si="63"/>
        <v/>
      </c>
      <c r="L456" s="34" t="str">
        <f t="shared" si="61"/>
        <v/>
      </c>
      <c r="M456" s="34" t="str">
        <f t="shared" si="64"/>
        <v/>
      </c>
      <c r="N456" s="34" t="str">
        <f t="shared" si="65"/>
        <v/>
      </c>
      <c r="O456" s="34" t="str">
        <f t="shared" si="62"/>
        <v/>
      </c>
      <c r="P456" s="34" t="str">
        <f>IF(A456="","",IFERROR(VLOOKUP(A456,'表3（采购界面）'!A:J,10,0),"NA"))</f>
        <v/>
      </c>
      <c r="Q456" s="34" t="str">
        <f>IF(A456="","",IFERROR(VLOOKUP(A456,'表3（采购界面）'!A:Z,11,0),"NA"))</f>
        <v/>
      </c>
      <c r="R456" s="34" t="str">
        <f t="shared" si="66"/>
        <v/>
      </c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</row>
    <row r="457" spans="10:33" x14ac:dyDescent="0.2">
      <c r="J457" s="34"/>
      <c r="K457" s="34" t="str">
        <f t="shared" si="63"/>
        <v/>
      </c>
      <c r="L457" s="34" t="str">
        <f t="shared" si="61"/>
        <v/>
      </c>
      <c r="M457" s="34" t="str">
        <f t="shared" si="64"/>
        <v/>
      </c>
      <c r="N457" s="34" t="str">
        <f t="shared" si="65"/>
        <v/>
      </c>
      <c r="O457" s="34" t="str">
        <f t="shared" si="62"/>
        <v/>
      </c>
      <c r="P457" s="34" t="str">
        <f>IF(A457="","",IFERROR(VLOOKUP(A457,'表3（采购界面）'!A:J,10,0),"NA"))</f>
        <v/>
      </c>
      <c r="Q457" s="34" t="str">
        <f>IF(A457="","",IFERROR(VLOOKUP(A457,'表3（采购界面）'!A:Z,11,0),"NA"))</f>
        <v/>
      </c>
      <c r="R457" s="34" t="str">
        <f t="shared" si="66"/>
        <v/>
      </c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</row>
    <row r="458" spans="10:33" x14ac:dyDescent="0.2">
      <c r="J458" s="34"/>
      <c r="K458" s="34" t="str">
        <f t="shared" si="63"/>
        <v/>
      </c>
      <c r="L458" s="34" t="str">
        <f t="shared" si="61"/>
        <v/>
      </c>
      <c r="M458" s="34" t="str">
        <f t="shared" si="64"/>
        <v/>
      </c>
      <c r="N458" s="34" t="str">
        <f t="shared" si="65"/>
        <v/>
      </c>
      <c r="O458" s="34" t="str">
        <f t="shared" si="62"/>
        <v/>
      </c>
      <c r="P458" s="34" t="str">
        <f>IF(A458="","",IFERROR(VLOOKUP(A458,'表3（采购界面）'!A:J,10,0),"NA"))</f>
        <v/>
      </c>
      <c r="Q458" s="34" t="str">
        <f>IF(A458="","",IFERROR(VLOOKUP(A458,'表3（采购界面）'!A:Z,11,0),"NA"))</f>
        <v/>
      </c>
      <c r="R458" s="34" t="str">
        <f t="shared" si="66"/>
        <v/>
      </c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</row>
    <row r="459" spans="10:33" x14ac:dyDescent="0.2">
      <c r="J459" s="34"/>
      <c r="K459" s="34" t="str">
        <f t="shared" si="63"/>
        <v/>
      </c>
      <c r="L459" s="34" t="str">
        <f t="shared" si="61"/>
        <v/>
      </c>
      <c r="M459" s="34" t="str">
        <f t="shared" si="64"/>
        <v/>
      </c>
      <c r="N459" s="34" t="str">
        <f t="shared" si="65"/>
        <v/>
      </c>
      <c r="O459" s="34" t="str">
        <f t="shared" si="62"/>
        <v/>
      </c>
      <c r="P459" s="34" t="str">
        <f>IF(A459="","",IFERROR(VLOOKUP(A459,'表3（采购界面）'!A:J,10,0),"NA"))</f>
        <v/>
      </c>
      <c r="Q459" s="34" t="str">
        <f>IF(A459="","",IFERROR(VLOOKUP(A459,'表3（采购界面）'!A:Z,11,0),"NA"))</f>
        <v/>
      </c>
      <c r="R459" s="34" t="str">
        <f t="shared" si="66"/>
        <v/>
      </c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</row>
    <row r="460" spans="10:33" x14ac:dyDescent="0.2">
      <c r="J460" s="34"/>
      <c r="K460" s="34" t="str">
        <f t="shared" si="63"/>
        <v/>
      </c>
      <c r="L460" s="34" t="str">
        <f t="shared" si="61"/>
        <v/>
      </c>
      <c r="M460" s="34" t="str">
        <f t="shared" si="64"/>
        <v/>
      </c>
      <c r="N460" s="34" t="str">
        <f t="shared" si="65"/>
        <v/>
      </c>
      <c r="O460" s="34" t="str">
        <f t="shared" si="62"/>
        <v/>
      </c>
      <c r="P460" s="34" t="str">
        <f>IF(A460="","",IFERROR(VLOOKUP(A460,'表3（采购界面）'!A:J,10,0),"NA"))</f>
        <v/>
      </c>
      <c r="Q460" s="34" t="str">
        <f>IF(A460="","",IFERROR(VLOOKUP(A460,'表3（采购界面）'!A:Z,11,0),"NA"))</f>
        <v/>
      </c>
      <c r="R460" s="34" t="str">
        <f t="shared" si="66"/>
        <v/>
      </c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</row>
    <row r="461" spans="10:33" x14ac:dyDescent="0.2">
      <c r="J461" s="34"/>
      <c r="K461" s="34" t="str">
        <f t="shared" si="63"/>
        <v/>
      </c>
      <c r="L461" s="34" t="str">
        <f t="shared" si="61"/>
        <v/>
      </c>
      <c r="M461" s="34" t="str">
        <f t="shared" si="64"/>
        <v/>
      </c>
      <c r="N461" s="34" t="str">
        <f t="shared" si="65"/>
        <v/>
      </c>
      <c r="O461" s="34" t="str">
        <f t="shared" si="62"/>
        <v/>
      </c>
      <c r="P461" s="34" t="str">
        <f>IF(A461="","",IFERROR(VLOOKUP(A461,'表3（采购界面）'!A:J,10,0),"NA"))</f>
        <v/>
      </c>
      <c r="Q461" s="34" t="str">
        <f>IF(A461="","",IFERROR(VLOOKUP(A461,'表3（采购界面）'!A:Z,11,0),"NA"))</f>
        <v/>
      </c>
      <c r="R461" s="34" t="str">
        <f t="shared" si="66"/>
        <v/>
      </c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</row>
    <row r="462" spans="10:33" x14ac:dyDescent="0.2">
      <c r="J462" s="34"/>
      <c r="K462" s="34" t="str">
        <f t="shared" si="63"/>
        <v/>
      </c>
      <c r="L462" s="34" t="str">
        <f t="shared" si="61"/>
        <v/>
      </c>
      <c r="M462" s="34" t="str">
        <f t="shared" si="64"/>
        <v/>
      </c>
      <c r="N462" s="34" t="str">
        <f t="shared" si="65"/>
        <v/>
      </c>
      <c r="O462" s="34" t="str">
        <f t="shared" si="62"/>
        <v/>
      </c>
      <c r="P462" s="34" t="str">
        <f>IF(A462="","",IFERROR(VLOOKUP(A462,'表3（采购界面）'!A:J,10,0),"NA"))</f>
        <v/>
      </c>
      <c r="Q462" s="34" t="str">
        <f>IF(A462="","",IFERROR(VLOOKUP(A462,'表3（采购界面）'!A:Z,11,0),"NA"))</f>
        <v/>
      </c>
      <c r="R462" s="34" t="str">
        <f t="shared" si="66"/>
        <v/>
      </c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</row>
    <row r="463" spans="10:33" x14ac:dyDescent="0.2">
      <c r="J463" s="34"/>
      <c r="K463" s="34" t="str">
        <f t="shared" si="63"/>
        <v/>
      </c>
      <c r="L463" s="34" t="str">
        <f t="shared" si="61"/>
        <v/>
      </c>
      <c r="M463" s="34" t="str">
        <f t="shared" si="64"/>
        <v/>
      </c>
      <c r="N463" s="34" t="str">
        <f t="shared" si="65"/>
        <v/>
      </c>
      <c r="O463" s="34" t="str">
        <f t="shared" si="62"/>
        <v/>
      </c>
      <c r="P463" s="34" t="str">
        <f>IF(A463="","",IFERROR(VLOOKUP(A463,'表3（采购界面）'!A:J,10,0),"NA"))</f>
        <v/>
      </c>
      <c r="Q463" s="34" t="str">
        <f>IF(A463="","",IFERROR(VLOOKUP(A463,'表3（采购界面）'!A:Z,11,0),"NA"))</f>
        <v/>
      </c>
      <c r="R463" s="34" t="str">
        <f t="shared" si="66"/>
        <v/>
      </c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</row>
    <row r="464" spans="10:33" x14ac:dyDescent="0.2">
      <c r="J464" s="34"/>
      <c r="K464" s="34" t="str">
        <f t="shared" si="63"/>
        <v/>
      </c>
      <c r="L464" s="34" t="str">
        <f t="shared" si="61"/>
        <v/>
      </c>
      <c r="M464" s="34" t="str">
        <f t="shared" si="64"/>
        <v/>
      </c>
      <c r="N464" s="34" t="str">
        <f t="shared" si="65"/>
        <v/>
      </c>
      <c r="O464" s="34" t="str">
        <f t="shared" si="62"/>
        <v/>
      </c>
      <c r="P464" s="34" t="str">
        <f>IF(A464="","",IFERROR(VLOOKUP(A464,'表3（采购界面）'!A:J,10,0),"NA"))</f>
        <v/>
      </c>
      <c r="Q464" s="34" t="str">
        <f>IF(A464="","",IFERROR(VLOOKUP(A464,'表3（采购界面）'!A:Z,11,0),"NA"))</f>
        <v/>
      </c>
      <c r="R464" s="34" t="str">
        <f t="shared" si="66"/>
        <v/>
      </c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</row>
    <row r="465" spans="10:33" x14ac:dyDescent="0.2">
      <c r="J465" s="34"/>
      <c r="K465" s="34" t="str">
        <f t="shared" si="63"/>
        <v/>
      </c>
      <c r="L465" s="34" t="str">
        <f t="shared" si="61"/>
        <v/>
      </c>
      <c r="M465" s="34" t="str">
        <f t="shared" si="64"/>
        <v/>
      </c>
      <c r="N465" s="34" t="str">
        <f t="shared" si="65"/>
        <v/>
      </c>
      <c r="O465" s="34" t="str">
        <f t="shared" si="62"/>
        <v/>
      </c>
      <c r="P465" s="34" t="str">
        <f>IF(A465="","",IFERROR(VLOOKUP(A465,'表3（采购界面）'!A:J,10,0),"NA"))</f>
        <v/>
      </c>
      <c r="Q465" s="34" t="str">
        <f>IF(A465="","",IFERROR(VLOOKUP(A465,'表3（采购界面）'!A:Z,11,0),"NA"))</f>
        <v/>
      </c>
      <c r="R465" s="34" t="str">
        <f t="shared" si="66"/>
        <v/>
      </c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</row>
    <row r="466" spans="10:33" x14ac:dyDescent="0.2">
      <c r="J466" s="34"/>
      <c r="K466" s="34" t="str">
        <f t="shared" si="63"/>
        <v/>
      </c>
      <c r="L466" s="34" t="str">
        <f t="shared" si="61"/>
        <v/>
      </c>
      <c r="M466" s="34" t="str">
        <f t="shared" si="64"/>
        <v/>
      </c>
      <c r="N466" s="34" t="str">
        <f t="shared" si="65"/>
        <v/>
      </c>
      <c r="O466" s="34" t="str">
        <f t="shared" si="62"/>
        <v/>
      </c>
      <c r="P466" s="34" t="str">
        <f>IF(A466="","",IFERROR(VLOOKUP(A466,'表3（采购界面）'!A:J,10,0),"NA"))</f>
        <v/>
      </c>
      <c r="Q466" s="34" t="str">
        <f>IF(A466="","",IFERROR(VLOOKUP(A466,'表3（采购界面）'!A:Z,11,0),"NA"))</f>
        <v/>
      </c>
      <c r="R466" s="34" t="str">
        <f t="shared" si="66"/>
        <v/>
      </c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</row>
    <row r="467" spans="10:33" x14ac:dyDescent="0.2">
      <c r="J467" s="34"/>
      <c r="K467" s="34" t="str">
        <f t="shared" si="63"/>
        <v/>
      </c>
      <c r="L467" s="34" t="str">
        <f t="shared" si="61"/>
        <v/>
      </c>
      <c r="M467" s="34" t="str">
        <f t="shared" si="64"/>
        <v/>
      </c>
      <c r="N467" s="34" t="str">
        <f t="shared" si="65"/>
        <v/>
      </c>
      <c r="O467" s="34" t="str">
        <f t="shared" si="62"/>
        <v/>
      </c>
      <c r="P467" s="34" t="str">
        <f>IF(A467="","",IFERROR(VLOOKUP(A467,'表3（采购界面）'!A:J,10,0),"NA"))</f>
        <v/>
      </c>
      <c r="Q467" s="34" t="str">
        <f>IF(A467="","",IFERROR(VLOOKUP(A467,'表3（采购界面）'!A:Z,11,0),"NA"))</f>
        <v/>
      </c>
      <c r="R467" s="34" t="str">
        <f t="shared" si="66"/>
        <v/>
      </c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</row>
    <row r="468" spans="10:33" x14ac:dyDescent="0.2">
      <c r="J468" s="34"/>
      <c r="K468" s="34" t="str">
        <f t="shared" si="63"/>
        <v/>
      </c>
      <c r="L468" s="34" t="str">
        <f t="shared" si="61"/>
        <v/>
      </c>
      <c r="M468" s="34" t="str">
        <f t="shared" si="64"/>
        <v/>
      </c>
      <c r="N468" s="34" t="str">
        <f t="shared" si="65"/>
        <v/>
      </c>
      <c r="O468" s="34" t="str">
        <f t="shared" si="62"/>
        <v/>
      </c>
      <c r="P468" s="34" t="str">
        <f>IF(A468="","",IFERROR(VLOOKUP(A468,'表3（采购界面）'!A:J,10,0),"NA"))</f>
        <v/>
      </c>
      <c r="Q468" s="34" t="str">
        <f>IF(A468="","",IFERROR(VLOOKUP(A468,'表3（采购界面）'!A:Z,11,0),"NA"))</f>
        <v/>
      </c>
      <c r="R468" s="34" t="str">
        <f t="shared" si="66"/>
        <v/>
      </c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</row>
    <row r="469" spans="10:33" x14ac:dyDescent="0.2">
      <c r="J469" s="34"/>
      <c r="K469" s="34" t="str">
        <f t="shared" si="63"/>
        <v/>
      </c>
      <c r="L469" s="34" t="str">
        <f t="shared" si="61"/>
        <v/>
      </c>
      <c r="M469" s="34" t="str">
        <f t="shared" si="64"/>
        <v/>
      </c>
      <c r="N469" s="34" t="str">
        <f t="shared" si="65"/>
        <v/>
      </c>
      <c r="O469" s="34" t="str">
        <f t="shared" si="62"/>
        <v/>
      </c>
      <c r="P469" s="34" t="str">
        <f>IF(A469="","",IFERROR(VLOOKUP(A469,'表3（采购界面）'!A:J,10,0),"NA"))</f>
        <v/>
      </c>
      <c r="Q469" s="34" t="str">
        <f>IF(A469="","",IFERROR(VLOOKUP(A469,'表3（采购界面）'!A:Z,11,0),"NA"))</f>
        <v/>
      </c>
      <c r="R469" s="34" t="str">
        <f t="shared" si="66"/>
        <v/>
      </c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</row>
    <row r="470" spans="10:33" x14ac:dyDescent="0.2">
      <c r="J470" s="34"/>
      <c r="K470" s="34" t="str">
        <f t="shared" si="63"/>
        <v/>
      </c>
      <c r="L470" s="34" t="str">
        <f t="shared" si="61"/>
        <v/>
      </c>
      <c r="M470" s="34" t="str">
        <f t="shared" si="64"/>
        <v/>
      </c>
      <c r="N470" s="34" t="str">
        <f t="shared" si="65"/>
        <v/>
      </c>
      <c r="O470" s="34" t="str">
        <f t="shared" si="62"/>
        <v/>
      </c>
      <c r="P470" s="34" t="str">
        <f>IF(A470="","",IFERROR(VLOOKUP(A470,'表3（采购界面）'!A:J,10,0),"NA"))</f>
        <v/>
      </c>
      <c r="Q470" s="34" t="str">
        <f>IF(A470="","",IFERROR(VLOOKUP(A470,'表3（采购界面）'!A:Z,11,0),"NA"))</f>
        <v/>
      </c>
      <c r="R470" s="34" t="str">
        <f t="shared" si="66"/>
        <v/>
      </c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</row>
    <row r="471" spans="10:33" x14ac:dyDescent="0.2">
      <c r="J471" s="34"/>
      <c r="K471" s="34" t="str">
        <f t="shared" si="63"/>
        <v/>
      </c>
      <c r="L471" s="34" t="str">
        <f t="shared" si="61"/>
        <v/>
      </c>
      <c r="M471" s="34" t="str">
        <f t="shared" si="64"/>
        <v/>
      </c>
      <c r="N471" s="34" t="str">
        <f t="shared" si="65"/>
        <v/>
      </c>
      <c r="O471" s="34" t="str">
        <f t="shared" si="62"/>
        <v/>
      </c>
      <c r="P471" s="34" t="str">
        <f>IF(A471="","",IFERROR(VLOOKUP(A471,'表3（采购界面）'!A:J,10,0),"NA"))</f>
        <v/>
      </c>
      <c r="Q471" s="34" t="str">
        <f>IF(A471="","",IFERROR(VLOOKUP(A471,'表3（采购界面）'!A:Z,11,0),"NA"))</f>
        <v/>
      </c>
      <c r="R471" s="34" t="str">
        <f t="shared" si="66"/>
        <v/>
      </c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</row>
    <row r="472" spans="10:33" x14ac:dyDescent="0.2">
      <c r="J472" s="34"/>
      <c r="K472" s="34" t="str">
        <f t="shared" si="63"/>
        <v/>
      </c>
      <c r="L472" s="34" t="str">
        <f t="shared" si="61"/>
        <v/>
      </c>
      <c r="M472" s="34" t="str">
        <f t="shared" si="64"/>
        <v/>
      </c>
      <c r="N472" s="34" t="str">
        <f t="shared" si="65"/>
        <v/>
      </c>
      <c r="O472" s="34" t="str">
        <f t="shared" si="62"/>
        <v/>
      </c>
      <c r="P472" s="34" t="str">
        <f>IF(A472="","",IFERROR(VLOOKUP(A472,'表3（采购界面）'!A:J,10,0),"NA"))</f>
        <v/>
      </c>
      <c r="Q472" s="34" t="str">
        <f>IF(A472="","",IFERROR(VLOOKUP(A472,'表3（采购界面）'!A:Z,11,0),"NA"))</f>
        <v/>
      </c>
      <c r="R472" s="34" t="str">
        <f t="shared" si="66"/>
        <v/>
      </c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</row>
    <row r="473" spans="10:33" x14ac:dyDescent="0.2">
      <c r="J473" s="34"/>
      <c r="K473" s="34" t="str">
        <f t="shared" si="63"/>
        <v/>
      </c>
      <c r="L473" s="34" t="str">
        <f t="shared" si="61"/>
        <v/>
      </c>
      <c r="M473" s="34" t="str">
        <f t="shared" si="64"/>
        <v/>
      </c>
      <c r="N473" s="34" t="str">
        <f t="shared" si="65"/>
        <v/>
      </c>
      <c r="O473" s="34" t="str">
        <f t="shared" si="62"/>
        <v/>
      </c>
      <c r="P473" s="34" t="str">
        <f>IF(A473="","",IFERROR(VLOOKUP(A473,'表3（采购界面）'!A:J,10,0),"NA"))</f>
        <v/>
      </c>
      <c r="Q473" s="34" t="str">
        <f>IF(A473="","",IFERROR(VLOOKUP(A473,'表3（采购界面）'!A:Z,11,0),"NA"))</f>
        <v/>
      </c>
      <c r="R473" s="34" t="str">
        <f t="shared" si="66"/>
        <v/>
      </c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</row>
    <row r="474" spans="10:33" x14ac:dyDescent="0.2">
      <c r="J474" s="34"/>
      <c r="K474" s="34" t="str">
        <f t="shared" si="63"/>
        <v/>
      </c>
      <c r="L474" s="34" t="str">
        <f t="shared" si="61"/>
        <v/>
      </c>
      <c r="M474" s="34" t="str">
        <f t="shared" si="64"/>
        <v/>
      </c>
      <c r="N474" s="34" t="str">
        <f t="shared" si="65"/>
        <v/>
      </c>
      <c r="O474" s="34" t="str">
        <f t="shared" si="62"/>
        <v/>
      </c>
      <c r="P474" s="34" t="str">
        <f>IF(A474="","",IFERROR(VLOOKUP(A474,'表3（采购界面）'!A:J,10,0),"NA"))</f>
        <v/>
      </c>
      <c r="Q474" s="34" t="str">
        <f>IF(A474="","",IFERROR(VLOOKUP(A474,'表3（采购界面）'!A:Z,11,0),"NA"))</f>
        <v/>
      </c>
      <c r="R474" s="34" t="str">
        <f t="shared" si="66"/>
        <v/>
      </c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</row>
    <row r="475" spans="10:33" x14ac:dyDescent="0.2">
      <c r="J475" s="34"/>
      <c r="K475" s="34" t="str">
        <f t="shared" si="63"/>
        <v/>
      </c>
      <c r="L475" s="34" t="str">
        <f t="shared" si="61"/>
        <v/>
      </c>
      <c r="M475" s="34" t="str">
        <f t="shared" si="64"/>
        <v/>
      </c>
      <c r="N475" s="34" t="str">
        <f t="shared" si="65"/>
        <v/>
      </c>
      <c r="O475" s="34" t="str">
        <f t="shared" si="62"/>
        <v/>
      </c>
      <c r="P475" s="34" t="str">
        <f>IF(A475="","",IFERROR(VLOOKUP(A475,'表3（采购界面）'!A:J,10,0),"NA"))</f>
        <v/>
      </c>
      <c r="Q475" s="34" t="str">
        <f>IF(A475="","",IFERROR(VLOOKUP(A475,'表3（采购界面）'!A:Z,11,0),"NA"))</f>
        <v/>
      </c>
      <c r="R475" s="34" t="str">
        <f t="shared" si="66"/>
        <v/>
      </c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</row>
    <row r="476" spans="10:33" x14ac:dyDescent="0.2">
      <c r="J476" s="34"/>
      <c r="K476" s="34" t="str">
        <f t="shared" si="63"/>
        <v/>
      </c>
      <c r="L476" s="34" t="str">
        <f t="shared" si="61"/>
        <v/>
      </c>
      <c r="M476" s="34" t="str">
        <f t="shared" si="64"/>
        <v/>
      </c>
      <c r="N476" s="34" t="str">
        <f t="shared" si="65"/>
        <v/>
      </c>
      <c r="O476" s="34" t="str">
        <f t="shared" si="62"/>
        <v/>
      </c>
      <c r="P476" s="34" t="str">
        <f>IF(A476="","",IFERROR(VLOOKUP(A476,'表3（采购界面）'!A:J,10,0),"NA"))</f>
        <v/>
      </c>
      <c r="Q476" s="34" t="str">
        <f>IF(A476="","",IFERROR(VLOOKUP(A476,'表3（采购界面）'!A:Z,11,0),"NA"))</f>
        <v/>
      </c>
      <c r="R476" s="34" t="str">
        <f t="shared" si="66"/>
        <v/>
      </c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</row>
    <row r="477" spans="10:33" x14ac:dyDescent="0.2">
      <c r="J477" s="34"/>
      <c r="K477" s="34" t="str">
        <f t="shared" si="63"/>
        <v/>
      </c>
      <c r="L477" s="34" t="str">
        <f t="shared" si="61"/>
        <v/>
      </c>
      <c r="M477" s="34" t="str">
        <f t="shared" si="64"/>
        <v/>
      </c>
      <c r="N477" s="34" t="str">
        <f t="shared" si="65"/>
        <v/>
      </c>
      <c r="O477" s="34" t="str">
        <f t="shared" si="62"/>
        <v/>
      </c>
      <c r="P477" s="34" t="str">
        <f>IF(A477="","",IFERROR(VLOOKUP(A477,'表3（采购界面）'!A:J,10,0),"NA"))</f>
        <v/>
      </c>
      <c r="Q477" s="34" t="str">
        <f>IF(A477="","",IFERROR(VLOOKUP(A477,'表3（采购界面）'!A:Z,11,0),"NA"))</f>
        <v/>
      </c>
      <c r="R477" s="34" t="str">
        <f t="shared" si="66"/>
        <v/>
      </c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</row>
    <row r="478" spans="10:33" x14ac:dyDescent="0.2">
      <c r="J478" s="34"/>
      <c r="K478" s="34" t="str">
        <f t="shared" si="63"/>
        <v/>
      </c>
      <c r="L478" s="34" t="str">
        <f t="shared" si="61"/>
        <v/>
      </c>
      <c r="M478" s="34" t="str">
        <f t="shared" si="64"/>
        <v/>
      </c>
      <c r="N478" s="34" t="str">
        <f t="shared" si="65"/>
        <v/>
      </c>
      <c r="O478" s="34" t="str">
        <f t="shared" si="62"/>
        <v/>
      </c>
      <c r="P478" s="34" t="str">
        <f>IF(A478="","",IFERROR(VLOOKUP(A478,'表3（采购界面）'!A:J,10,0),"NA"))</f>
        <v/>
      </c>
      <c r="Q478" s="34" t="str">
        <f>IF(A478="","",IFERROR(VLOOKUP(A478,'表3（采购界面）'!A:Z,11,0),"NA"))</f>
        <v/>
      </c>
      <c r="R478" s="34" t="str">
        <f t="shared" si="66"/>
        <v/>
      </c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</row>
    <row r="479" spans="10:33" x14ac:dyDescent="0.2">
      <c r="J479" s="34"/>
      <c r="K479" s="34" t="str">
        <f t="shared" si="63"/>
        <v/>
      </c>
      <c r="L479" s="34" t="str">
        <f t="shared" si="61"/>
        <v/>
      </c>
      <c r="M479" s="34" t="str">
        <f t="shared" si="64"/>
        <v/>
      </c>
      <c r="N479" s="34" t="str">
        <f t="shared" si="65"/>
        <v/>
      </c>
      <c r="O479" s="34" t="str">
        <f t="shared" si="62"/>
        <v/>
      </c>
      <c r="P479" s="34" t="str">
        <f>IF(A479="","",IFERROR(VLOOKUP(A479,'表3（采购界面）'!A:J,10,0),"NA"))</f>
        <v/>
      </c>
      <c r="Q479" s="34" t="str">
        <f>IF(A479="","",IFERROR(VLOOKUP(A479,'表3（采购界面）'!A:Z,11,0),"NA"))</f>
        <v/>
      </c>
      <c r="R479" s="34" t="str">
        <f t="shared" si="66"/>
        <v/>
      </c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</row>
    <row r="480" spans="10:33" x14ac:dyDescent="0.2">
      <c r="J480" s="34"/>
      <c r="K480" s="34" t="str">
        <f t="shared" si="63"/>
        <v/>
      </c>
      <c r="L480" s="34" t="str">
        <f t="shared" si="61"/>
        <v/>
      </c>
      <c r="M480" s="34" t="str">
        <f t="shared" si="64"/>
        <v/>
      </c>
      <c r="N480" s="34" t="str">
        <f t="shared" si="65"/>
        <v/>
      </c>
      <c r="O480" s="34" t="str">
        <f t="shared" si="62"/>
        <v/>
      </c>
      <c r="P480" s="34" t="str">
        <f>IF(A480="","",IFERROR(VLOOKUP(A480,'表3（采购界面）'!A:J,10,0),"NA"))</f>
        <v/>
      </c>
      <c r="Q480" s="34" t="str">
        <f>IF(A480="","",IFERROR(VLOOKUP(A480,'表3（采购界面）'!A:Z,11,0),"NA"))</f>
        <v/>
      </c>
      <c r="R480" s="34" t="str">
        <f t="shared" si="66"/>
        <v/>
      </c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</row>
    <row r="481" spans="10:33" x14ac:dyDescent="0.2">
      <c r="J481" s="34"/>
      <c r="K481" s="34" t="str">
        <f t="shared" si="63"/>
        <v/>
      </c>
      <c r="L481" s="34" t="str">
        <f t="shared" si="61"/>
        <v/>
      </c>
      <c r="M481" s="34" t="str">
        <f t="shared" si="64"/>
        <v/>
      </c>
      <c r="N481" s="34" t="str">
        <f t="shared" si="65"/>
        <v/>
      </c>
      <c r="O481" s="34" t="str">
        <f t="shared" si="62"/>
        <v/>
      </c>
      <c r="P481" s="34" t="str">
        <f>IF(A481="","",IFERROR(VLOOKUP(A481,'表3（采购界面）'!A:J,10,0),"NA"))</f>
        <v/>
      </c>
      <c r="Q481" s="34" t="str">
        <f>IF(A481="","",IFERROR(VLOOKUP(A481,'表3（采购界面）'!A:Z,11,0),"NA"))</f>
        <v/>
      </c>
      <c r="R481" s="34" t="str">
        <f t="shared" si="66"/>
        <v/>
      </c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</row>
    <row r="482" spans="10:33" x14ac:dyDescent="0.2">
      <c r="J482" s="34"/>
      <c r="K482" s="34" t="str">
        <f t="shared" si="63"/>
        <v/>
      </c>
      <c r="L482" s="34" t="str">
        <f t="shared" si="61"/>
        <v/>
      </c>
      <c r="M482" s="34" t="str">
        <f t="shared" si="64"/>
        <v/>
      </c>
      <c r="N482" s="34" t="str">
        <f t="shared" si="65"/>
        <v/>
      </c>
      <c r="O482" s="34" t="str">
        <f t="shared" si="62"/>
        <v/>
      </c>
      <c r="P482" s="34" t="str">
        <f>IF(A482="","",IFERROR(VLOOKUP(A482,'表3（采购界面）'!A:J,10,0),"NA"))</f>
        <v/>
      </c>
      <c r="Q482" s="34" t="str">
        <f>IF(A482="","",IFERROR(VLOOKUP(A482,'表3（采购界面）'!A:Z,11,0),"NA"))</f>
        <v/>
      </c>
      <c r="R482" s="34" t="str">
        <f t="shared" si="66"/>
        <v/>
      </c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</row>
    <row r="483" spans="10:33" x14ac:dyDescent="0.2">
      <c r="J483" s="34"/>
      <c r="K483" s="34" t="str">
        <f t="shared" si="63"/>
        <v/>
      </c>
      <c r="L483" s="34" t="str">
        <f t="shared" si="61"/>
        <v/>
      </c>
      <c r="M483" s="34" t="str">
        <f t="shared" si="64"/>
        <v/>
      </c>
      <c r="N483" s="34" t="str">
        <f t="shared" si="65"/>
        <v/>
      </c>
      <c r="O483" s="34" t="str">
        <f t="shared" si="62"/>
        <v/>
      </c>
      <c r="P483" s="34" t="str">
        <f>IF(A483="","",IFERROR(VLOOKUP(A483,'表3（采购界面）'!A:J,10,0),"NA"))</f>
        <v/>
      </c>
      <c r="Q483" s="34" t="str">
        <f>IF(A483="","",IFERROR(VLOOKUP(A483,'表3（采购界面）'!A:Z,11,0),"NA"))</f>
        <v/>
      </c>
      <c r="R483" s="34" t="str">
        <f t="shared" si="66"/>
        <v/>
      </c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</row>
    <row r="484" spans="10:33" x14ac:dyDescent="0.2">
      <c r="J484" s="34"/>
      <c r="K484" s="34" t="str">
        <f t="shared" si="63"/>
        <v/>
      </c>
      <c r="L484" s="34" t="str">
        <f t="shared" si="61"/>
        <v/>
      </c>
      <c r="M484" s="34" t="str">
        <f t="shared" si="64"/>
        <v/>
      </c>
      <c r="N484" s="34" t="str">
        <f t="shared" si="65"/>
        <v/>
      </c>
      <c r="O484" s="34" t="str">
        <f t="shared" si="62"/>
        <v/>
      </c>
      <c r="P484" s="34" t="str">
        <f>IF(A484="","",IFERROR(VLOOKUP(A484,'表3（采购界面）'!A:J,10,0),"NA"))</f>
        <v/>
      </c>
      <c r="Q484" s="34" t="str">
        <f>IF(A484="","",IFERROR(VLOOKUP(A484,'表3（采购界面）'!A:Z,11,0),"NA"))</f>
        <v/>
      </c>
      <c r="R484" s="34" t="str">
        <f t="shared" si="66"/>
        <v/>
      </c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</row>
    <row r="485" spans="10:33" x14ac:dyDescent="0.2">
      <c r="J485" s="34"/>
      <c r="K485" s="34" t="str">
        <f t="shared" si="63"/>
        <v/>
      </c>
      <c r="L485" s="34" t="str">
        <f t="shared" si="61"/>
        <v/>
      </c>
      <c r="M485" s="34" t="str">
        <f t="shared" si="64"/>
        <v/>
      </c>
      <c r="N485" s="34" t="str">
        <f t="shared" si="65"/>
        <v/>
      </c>
      <c r="O485" s="34" t="str">
        <f t="shared" si="62"/>
        <v/>
      </c>
      <c r="P485" s="34" t="str">
        <f>IF(A485="","",IFERROR(VLOOKUP(A485,'表3（采购界面）'!A:J,10,0),"NA"))</f>
        <v/>
      </c>
      <c r="Q485" s="34" t="str">
        <f>IF(A485="","",IFERROR(VLOOKUP(A485,'表3（采购界面）'!A:Z,11,0),"NA"))</f>
        <v/>
      </c>
      <c r="R485" s="34" t="str">
        <f t="shared" si="66"/>
        <v/>
      </c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</row>
    <row r="486" spans="10:33" x14ac:dyDescent="0.2">
      <c r="J486" s="34"/>
      <c r="K486" s="34" t="str">
        <f t="shared" si="63"/>
        <v/>
      </c>
      <c r="L486" s="34" t="str">
        <f t="shared" si="61"/>
        <v/>
      </c>
      <c r="M486" s="34" t="str">
        <f t="shared" si="64"/>
        <v/>
      </c>
      <c r="N486" s="34" t="str">
        <f t="shared" si="65"/>
        <v/>
      </c>
      <c r="O486" s="34" t="str">
        <f t="shared" si="62"/>
        <v/>
      </c>
      <c r="P486" s="34" t="str">
        <f>IF(A486="","",IFERROR(VLOOKUP(A486,'表3（采购界面）'!A:J,10,0),"NA"))</f>
        <v/>
      </c>
      <c r="Q486" s="34" t="str">
        <f>IF(A486="","",IFERROR(VLOOKUP(A486,'表3（采购界面）'!A:Z,11,0),"NA"))</f>
        <v/>
      </c>
      <c r="R486" s="34" t="str">
        <f t="shared" si="66"/>
        <v/>
      </c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</row>
    <row r="487" spans="10:33" x14ac:dyDescent="0.2">
      <c r="J487" s="34"/>
      <c r="K487" s="34" t="str">
        <f t="shared" si="63"/>
        <v/>
      </c>
      <c r="L487" s="34" t="str">
        <f t="shared" si="61"/>
        <v/>
      </c>
      <c r="M487" s="34" t="str">
        <f t="shared" si="64"/>
        <v/>
      </c>
      <c r="N487" s="34" t="str">
        <f t="shared" si="65"/>
        <v/>
      </c>
      <c r="O487" s="34" t="str">
        <f t="shared" si="62"/>
        <v/>
      </c>
      <c r="P487" s="34" t="str">
        <f>IF(A487="","",IFERROR(VLOOKUP(A487,'表3（采购界面）'!A:J,10,0),"NA"))</f>
        <v/>
      </c>
      <c r="Q487" s="34" t="str">
        <f>IF(A487="","",IFERROR(VLOOKUP(A487,'表3（采购界面）'!A:Z,11,0),"NA"))</f>
        <v/>
      </c>
      <c r="R487" s="34" t="str">
        <f t="shared" si="66"/>
        <v/>
      </c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</row>
    <row r="488" spans="10:33" x14ac:dyDescent="0.2">
      <c r="J488" s="34"/>
      <c r="K488" s="34" t="str">
        <f t="shared" si="63"/>
        <v/>
      </c>
      <c r="L488" s="34" t="str">
        <f t="shared" si="61"/>
        <v/>
      </c>
      <c r="M488" s="34" t="str">
        <f t="shared" si="64"/>
        <v/>
      </c>
      <c r="N488" s="34" t="str">
        <f t="shared" si="65"/>
        <v/>
      </c>
      <c r="O488" s="34" t="str">
        <f t="shared" si="62"/>
        <v/>
      </c>
      <c r="P488" s="34" t="str">
        <f>IF(A488="","",IFERROR(VLOOKUP(A488,'表3（采购界面）'!A:J,10,0),"NA"))</f>
        <v/>
      </c>
      <c r="Q488" s="34" t="str">
        <f>IF(A488="","",IFERROR(VLOOKUP(A488,'表3（采购界面）'!A:Z,11,0),"NA"))</f>
        <v/>
      </c>
      <c r="R488" s="34" t="str">
        <f t="shared" si="66"/>
        <v/>
      </c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</row>
    <row r="489" spans="10:33" x14ac:dyDescent="0.2">
      <c r="J489" s="34"/>
      <c r="K489" s="34" t="str">
        <f t="shared" si="63"/>
        <v/>
      </c>
      <c r="L489" s="34" t="str">
        <f t="shared" si="61"/>
        <v/>
      </c>
      <c r="M489" s="34" t="str">
        <f t="shared" si="64"/>
        <v/>
      </c>
      <c r="N489" s="34" t="str">
        <f t="shared" si="65"/>
        <v/>
      </c>
      <c r="O489" s="34" t="str">
        <f t="shared" si="62"/>
        <v/>
      </c>
      <c r="P489" s="34" t="str">
        <f>IF(A489="","",IFERROR(VLOOKUP(A489,'表3（采购界面）'!A:J,10,0),"NA"))</f>
        <v/>
      </c>
      <c r="Q489" s="34" t="str">
        <f>IF(A489="","",IFERROR(VLOOKUP(A489,'表3（采购界面）'!A:Z,11,0),"NA"))</f>
        <v/>
      </c>
      <c r="R489" s="34" t="str">
        <f t="shared" si="66"/>
        <v/>
      </c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</row>
    <row r="490" spans="10:33" x14ac:dyDescent="0.2">
      <c r="J490" s="34"/>
      <c r="K490" s="34" t="str">
        <f t="shared" si="63"/>
        <v/>
      </c>
      <c r="L490" s="34" t="str">
        <f t="shared" si="61"/>
        <v/>
      </c>
      <c r="M490" s="34" t="str">
        <f t="shared" si="64"/>
        <v/>
      </c>
      <c r="N490" s="34" t="str">
        <f t="shared" si="65"/>
        <v/>
      </c>
      <c r="O490" s="34" t="str">
        <f t="shared" si="62"/>
        <v/>
      </c>
      <c r="P490" s="34" t="str">
        <f>IF(A490="","",IFERROR(VLOOKUP(A490,'表3（采购界面）'!A:J,10,0),"NA"))</f>
        <v/>
      </c>
      <c r="Q490" s="34" t="str">
        <f>IF(A490="","",IFERROR(VLOOKUP(A490,'表3（采购界面）'!A:Z,11,0),"NA"))</f>
        <v/>
      </c>
      <c r="R490" s="34" t="str">
        <f t="shared" si="66"/>
        <v/>
      </c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</row>
    <row r="491" spans="10:33" x14ac:dyDescent="0.2">
      <c r="J491" s="34"/>
      <c r="K491" s="34" t="str">
        <f t="shared" si="63"/>
        <v/>
      </c>
      <c r="L491" s="34" t="str">
        <f t="shared" si="61"/>
        <v/>
      </c>
      <c r="M491" s="34" t="str">
        <f t="shared" si="64"/>
        <v/>
      </c>
      <c r="N491" s="34" t="str">
        <f t="shared" si="65"/>
        <v/>
      </c>
      <c r="O491" s="34" t="str">
        <f t="shared" si="62"/>
        <v/>
      </c>
      <c r="P491" s="34" t="str">
        <f>IF(A491="","",IFERROR(VLOOKUP(A491,'表3（采购界面）'!A:J,10,0),"NA"))</f>
        <v/>
      </c>
      <c r="Q491" s="34" t="str">
        <f>IF(A491="","",IFERROR(VLOOKUP(A491,'表3（采购界面）'!A:Z,11,0),"NA"))</f>
        <v/>
      </c>
      <c r="R491" s="34" t="str">
        <f t="shared" si="66"/>
        <v/>
      </c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</row>
    <row r="492" spans="10:33" x14ac:dyDescent="0.2">
      <c r="J492" s="34"/>
      <c r="K492" s="34" t="str">
        <f t="shared" si="63"/>
        <v/>
      </c>
      <c r="L492" s="34" t="str">
        <f t="shared" si="61"/>
        <v/>
      </c>
      <c r="M492" s="34" t="str">
        <f t="shared" si="64"/>
        <v/>
      </c>
      <c r="N492" s="34" t="str">
        <f t="shared" si="65"/>
        <v/>
      </c>
      <c r="O492" s="34" t="str">
        <f t="shared" si="62"/>
        <v/>
      </c>
      <c r="P492" s="34" t="str">
        <f>IF(A492="","",IFERROR(VLOOKUP(A492,'表3（采购界面）'!A:J,10,0),"NA"))</f>
        <v/>
      </c>
      <c r="Q492" s="34" t="str">
        <f>IF(A492="","",IFERROR(VLOOKUP(A492,'表3（采购界面）'!A:Z,11,0),"NA"))</f>
        <v/>
      </c>
      <c r="R492" s="34" t="str">
        <f t="shared" si="66"/>
        <v/>
      </c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</row>
    <row r="493" spans="10:33" x14ac:dyDescent="0.2">
      <c r="J493" s="34"/>
      <c r="K493" s="34" t="str">
        <f t="shared" si="63"/>
        <v/>
      </c>
      <c r="L493" s="34" t="str">
        <f t="shared" si="61"/>
        <v/>
      </c>
      <c r="M493" s="34" t="str">
        <f t="shared" si="64"/>
        <v/>
      </c>
      <c r="N493" s="34" t="str">
        <f t="shared" si="65"/>
        <v/>
      </c>
      <c r="O493" s="34" t="str">
        <f t="shared" si="62"/>
        <v/>
      </c>
      <c r="P493" s="34" t="str">
        <f>IF(A493="","",IFERROR(VLOOKUP(A493,'表3（采购界面）'!A:J,10,0),"NA"))</f>
        <v/>
      </c>
      <c r="Q493" s="34" t="str">
        <f>IF(A493="","",IFERROR(VLOOKUP(A493,'表3（采购界面）'!A:Z,11,0),"NA"))</f>
        <v/>
      </c>
      <c r="R493" s="34" t="str">
        <f t="shared" si="66"/>
        <v/>
      </c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</row>
    <row r="494" spans="10:33" x14ac:dyDescent="0.2">
      <c r="J494" s="34"/>
      <c r="K494" s="34" t="str">
        <f t="shared" si="63"/>
        <v/>
      </c>
      <c r="L494" s="34" t="str">
        <f t="shared" si="61"/>
        <v/>
      </c>
      <c r="M494" s="34" t="str">
        <f t="shared" si="64"/>
        <v/>
      </c>
      <c r="N494" s="34" t="str">
        <f t="shared" si="65"/>
        <v/>
      </c>
      <c r="O494" s="34" t="str">
        <f t="shared" si="62"/>
        <v/>
      </c>
      <c r="P494" s="34" t="str">
        <f>IF(A494="","",IFERROR(VLOOKUP(A494,'表3（采购界面）'!A:J,10,0),"NA"))</f>
        <v/>
      </c>
      <c r="Q494" s="34" t="str">
        <f>IF(A494="","",IFERROR(VLOOKUP(A494,'表3（采购界面）'!A:Z,11,0),"NA"))</f>
        <v/>
      </c>
      <c r="R494" s="34" t="str">
        <f t="shared" si="66"/>
        <v/>
      </c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</row>
    <row r="495" spans="10:33" x14ac:dyDescent="0.2">
      <c r="J495" s="34"/>
      <c r="K495" s="34" t="str">
        <f t="shared" si="63"/>
        <v/>
      </c>
      <c r="L495" s="34" t="str">
        <f t="shared" si="61"/>
        <v/>
      </c>
      <c r="M495" s="34" t="str">
        <f t="shared" si="64"/>
        <v/>
      </c>
      <c r="N495" s="34" t="str">
        <f t="shared" si="65"/>
        <v/>
      </c>
      <c r="O495" s="34" t="str">
        <f t="shared" si="62"/>
        <v/>
      </c>
      <c r="P495" s="34" t="str">
        <f>IF(A495="","",IFERROR(VLOOKUP(A495,'表3（采购界面）'!A:J,10,0),"NA"))</f>
        <v/>
      </c>
      <c r="Q495" s="34" t="str">
        <f>IF(A495="","",IFERROR(VLOOKUP(A495,'表3（采购界面）'!A:Z,11,0),"NA"))</f>
        <v/>
      </c>
      <c r="R495" s="34" t="str">
        <f t="shared" si="66"/>
        <v/>
      </c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</row>
    <row r="496" spans="10:33" x14ac:dyDescent="0.2">
      <c r="J496" s="34"/>
      <c r="K496" s="34" t="str">
        <f t="shared" si="63"/>
        <v/>
      </c>
      <c r="L496" s="34" t="str">
        <f t="shared" si="61"/>
        <v/>
      </c>
      <c r="M496" s="34" t="str">
        <f t="shared" si="64"/>
        <v/>
      </c>
      <c r="N496" s="34" t="str">
        <f t="shared" si="65"/>
        <v/>
      </c>
      <c r="O496" s="34" t="str">
        <f t="shared" si="62"/>
        <v/>
      </c>
      <c r="P496" s="34" t="str">
        <f>IF(A496="","",IFERROR(VLOOKUP(A496,'表3（采购界面）'!A:J,10,0),"NA"))</f>
        <v/>
      </c>
      <c r="Q496" s="34" t="str">
        <f>IF(A496="","",IFERROR(VLOOKUP(A496,'表3（采购界面）'!A:Z,11,0),"NA"))</f>
        <v/>
      </c>
      <c r="R496" s="34" t="str">
        <f t="shared" si="66"/>
        <v/>
      </c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</row>
    <row r="497" spans="10:33" x14ac:dyDescent="0.2">
      <c r="J497" s="34"/>
      <c r="K497" s="34" t="str">
        <f t="shared" si="63"/>
        <v/>
      </c>
      <c r="L497" s="34" t="str">
        <f t="shared" si="61"/>
        <v/>
      </c>
      <c r="M497" s="34" t="str">
        <f t="shared" si="64"/>
        <v/>
      </c>
      <c r="N497" s="34" t="str">
        <f t="shared" si="65"/>
        <v/>
      </c>
      <c r="O497" s="34" t="str">
        <f t="shared" si="62"/>
        <v/>
      </c>
      <c r="P497" s="34" t="str">
        <f>IF(A497="","",IFERROR(VLOOKUP(A497,'表3（采购界面）'!A:J,10,0),"NA"))</f>
        <v/>
      </c>
      <c r="Q497" s="34" t="str">
        <f>IF(A497="","",IFERROR(VLOOKUP(A497,'表3（采购界面）'!A:Z,11,0),"NA"))</f>
        <v/>
      </c>
      <c r="R497" s="34" t="str">
        <f t="shared" si="66"/>
        <v/>
      </c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</row>
    <row r="498" spans="10:33" x14ac:dyDescent="0.2">
      <c r="J498" s="34"/>
      <c r="K498" s="34" t="str">
        <f t="shared" si="63"/>
        <v/>
      </c>
      <c r="L498" s="34" t="str">
        <f t="shared" si="61"/>
        <v/>
      </c>
      <c r="M498" s="34" t="str">
        <f t="shared" si="64"/>
        <v/>
      </c>
      <c r="N498" s="34" t="str">
        <f t="shared" si="65"/>
        <v/>
      </c>
      <c r="O498" s="34" t="str">
        <f t="shared" si="62"/>
        <v/>
      </c>
      <c r="P498" s="34" t="str">
        <f>IF(A498="","",IFERROR(VLOOKUP(A498,'表3（采购界面）'!A:J,10,0),"NA"))</f>
        <v/>
      </c>
      <c r="Q498" s="34" t="str">
        <f>IF(A498="","",IFERROR(VLOOKUP(A498,'表3（采购界面）'!A:Z,11,0),"NA"))</f>
        <v/>
      </c>
      <c r="R498" s="34" t="str">
        <f t="shared" si="66"/>
        <v/>
      </c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</row>
    <row r="499" spans="10:33" x14ac:dyDescent="0.2">
      <c r="J499" s="34"/>
      <c r="K499" s="34" t="str">
        <f t="shared" si="63"/>
        <v/>
      </c>
      <c r="L499" s="34" t="str">
        <f t="shared" si="61"/>
        <v/>
      </c>
      <c r="M499" s="34" t="str">
        <f t="shared" si="64"/>
        <v/>
      </c>
      <c r="N499" s="34" t="str">
        <f t="shared" si="65"/>
        <v/>
      </c>
      <c r="O499" s="34" t="str">
        <f t="shared" si="62"/>
        <v/>
      </c>
      <c r="P499" s="34" t="str">
        <f>IF(A499="","",IFERROR(VLOOKUP(A499,'表3（采购界面）'!A:J,10,0),"NA"))</f>
        <v/>
      </c>
      <c r="Q499" s="34" t="str">
        <f>IF(A499="","",IFERROR(VLOOKUP(A499,'表3（采购界面）'!A:Z,11,0),"NA"))</f>
        <v/>
      </c>
      <c r="R499" s="34" t="str">
        <f t="shared" si="66"/>
        <v/>
      </c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</row>
    <row r="500" spans="10:33" x14ac:dyDescent="0.2">
      <c r="J500" s="34"/>
      <c r="K500" s="34" t="str">
        <f t="shared" si="63"/>
        <v/>
      </c>
      <c r="L500" s="34" t="str">
        <f t="shared" si="61"/>
        <v/>
      </c>
      <c r="M500" s="34" t="str">
        <f t="shared" si="64"/>
        <v/>
      </c>
      <c r="N500" s="34" t="str">
        <f t="shared" si="65"/>
        <v/>
      </c>
      <c r="O500" s="34" t="str">
        <f t="shared" si="62"/>
        <v/>
      </c>
      <c r="P500" s="34" t="str">
        <f>IF(A500="","",IFERROR(VLOOKUP(A500,'表3（采购界面）'!A:J,10,0),"NA"))</f>
        <v/>
      </c>
      <c r="Q500" s="34" t="str">
        <f>IF(A500="","",IFERROR(VLOOKUP(A500,'表3（采购界面）'!A:Z,11,0),"NA"))</f>
        <v/>
      </c>
      <c r="R500" s="34" t="str">
        <f t="shared" si="66"/>
        <v/>
      </c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</row>
    <row r="501" spans="10:33" x14ac:dyDescent="0.2">
      <c r="J501" s="34"/>
      <c r="K501" s="34" t="str">
        <f t="shared" si="63"/>
        <v/>
      </c>
      <c r="L501" s="34" t="str">
        <f t="shared" si="61"/>
        <v/>
      </c>
      <c r="M501" s="34" t="str">
        <f t="shared" si="64"/>
        <v/>
      </c>
      <c r="N501" s="34" t="str">
        <f t="shared" si="65"/>
        <v/>
      </c>
      <c r="O501" s="34" t="str">
        <f t="shared" si="62"/>
        <v/>
      </c>
      <c r="P501" s="34" t="str">
        <f>IF(A501="","",IFERROR(VLOOKUP(A501,'表3（采购界面）'!A:J,10,0),"NA"))</f>
        <v/>
      </c>
      <c r="Q501" s="34" t="str">
        <f>IF(A501="","",IFERROR(VLOOKUP(A501,'表3（采购界面）'!A:Z,11,0),"NA"))</f>
        <v/>
      </c>
      <c r="R501" s="34" t="str">
        <f t="shared" si="66"/>
        <v/>
      </c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</row>
    <row r="502" spans="10:33" x14ac:dyDescent="0.2">
      <c r="J502" s="34"/>
      <c r="K502" s="34" t="str">
        <f t="shared" si="63"/>
        <v/>
      </c>
      <c r="L502" s="34" t="str">
        <f t="shared" si="61"/>
        <v/>
      </c>
      <c r="M502" s="34" t="str">
        <f t="shared" si="64"/>
        <v/>
      </c>
      <c r="N502" s="34" t="str">
        <f t="shared" si="65"/>
        <v/>
      </c>
      <c r="O502" s="34" t="str">
        <f t="shared" si="62"/>
        <v/>
      </c>
      <c r="P502" s="34" t="str">
        <f>IF(A502="","",IFERROR(VLOOKUP(A502,'表3（采购界面）'!A:J,10,0),"NA"))</f>
        <v/>
      </c>
      <c r="Q502" s="34" t="str">
        <f>IF(A502="","",IFERROR(VLOOKUP(A502,'表3（采购界面）'!A:Z,11,0),"NA"))</f>
        <v/>
      </c>
      <c r="R502" s="34" t="str">
        <f t="shared" si="66"/>
        <v/>
      </c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</row>
    <row r="503" spans="10:33" x14ac:dyDescent="0.2">
      <c r="J503" s="34"/>
      <c r="K503" s="34" t="str">
        <f t="shared" si="63"/>
        <v/>
      </c>
      <c r="L503" s="34" t="str">
        <f t="shared" si="61"/>
        <v/>
      </c>
      <c r="M503" s="34" t="str">
        <f t="shared" si="64"/>
        <v/>
      </c>
      <c r="N503" s="34" t="str">
        <f t="shared" si="65"/>
        <v/>
      </c>
      <c r="O503" s="34" t="str">
        <f t="shared" si="62"/>
        <v/>
      </c>
      <c r="P503" s="34" t="str">
        <f>IF(A503="","",IFERROR(VLOOKUP(A503,'表3（采购界面）'!A:J,10,0),"NA"))</f>
        <v/>
      </c>
      <c r="Q503" s="34" t="str">
        <f>IF(A503="","",IFERROR(VLOOKUP(A503,'表3（采购界面）'!A:Z,11,0),"NA"))</f>
        <v/>
      </c>
      <c r="R503" s="34" t="str">
        <f t="shared" si="66"/>
        <v/>
      </c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</row>
    <row r="504" spans="10:33" x14ac:dyDescent="0.2">
      <c r="J504" s="34"/>
      <c r="K504" s="34" t="str">
        <f t="shared" si="63"/>
        <v/>
      </c>
      <c r="L504" s="34" t="str">
        <f t="shared" si="61"/>
        <v/>
      </c>
      <c r="M504" s="34" t="str">
        <f t="shared" si="64"/>
        <v/>
      </c>
      <c r="N504" s="34" t="str">
        <f t="shared" si="65"/>
        <v/>
      </c>
      <c r="O504" s="34" t="str">
        <f t="shared" si="62"/>
        <v/>
      </c>
      <c r="P504" s="34" t="str">
        <f>IF(A504="","",IFERROR(VLOOKUP(A504,'表3（采购界面）'!A:J,10,0),"NA"))</f>
        <v/>
      </c>
      <c r="Q504" s="34" t="str">
        <f>IF(A504="","",IFERROR(VLOOKUP(A504,'表3（采购界面）'!A:Z,11,0),"NA"))</f>
        <v/>
      </c>
      <c r="R504" s="34" t="str">
        <f t="shared" si="66"/>
        <v/>
      </c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</row>
    <row r="505" spans="10:33" x14ac:dyDescent="0.2">
      <c r="J505" s="34"/>
      <c r="K505" s="34" t="str">
        <f t="shared" si="63"/>
        <v/>
      </c>
      <c r="L505" s="34" t="str">
        <f t="shared" si="61"/>
        <v/>
      </c>
      <c r="M505" s="34" t="str">
        <f t="shared" si="64"/>
        <v/>
      </c>
      <c r="N505" s="34" t="str">
        <f t="shared" si="65"/>
        <v/>
      </c>
      <c r="O505" s="34" t="str">
        <f t="shared" si="62"/>
        <v/>
      </c>
      <c r="P505" s="34" t="str">
        <f>IF(A505="","",IFERROR(VLOOKUP(A505,'表3（采购界面）'!A:J,10,0),"NA"))</f>
        <v/>
      </c>
      <c r="Q505" s="34" t="str">
        <f>IF(A505="","",IFERROR(VLOOKUP(A505,'表3（采购界面）'!A:Z,11,0),"NA"))</f>
        <v/>
      </c>
      <c r="R505" s="34" t="str">
        <f t="shared" si="66"/>
        <v/>
      </c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</row>
    <row r="506" spans="10:33" x14ac:dyDescent="0.2">
      <c r="J506" s="34"/>
      <c r="K506" s="34" t="str">
        <f t="shared" si="63"/>
        <v/>
      </c>
      <c r="L506" s="34" t="str">
        <f t="shared" si="61"/>
        <v/>
      </c>
      <c r="M506" s="34" t="str">
        <f t="shared" si="64"/>
        <v/>
      </c>
      <c r="N506" s="34" t="str">
        <f t="shared" si="65"/>
        <v/>
      </c>
      <c r="O506" s="34" t="str">
        <f t="shared" si="62"/>
        <v/>
      </c>
      <c r="P506" s="34" t="str">
        <f>IF(A506="","",IFERROR(VLOOKUP(A506,'表3（采购界面）'!A:J,10,0),"NA"))</f>
        <v/>
      </c>
      <c r="Q506" s="34" t="str">
        <f>IF(A506="","",IFERROR(VLOOKUP(A506,'表3（采购界面）'!A:Z,11,0),"NA"))</f>
        <v/>
      </c>
      <c r="R506" s="34" t="str">
        <f t="shared" si="66"/>
        <v/>
      </c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</row>
    <row r="507" spans="10:33" x14ac:dyDescent="0.2">
      <c r="J507" s="34"/>
      <c r="K507" s="34" t="str">
        <f t="shared" si="63"/>
        <v/>
      </c>
      <c r="L507" s="34" t="str">
        <f t="shared" si="61"/>
        <v/>
      </c>
      <c r="M507" s="34" t="str">
        <f t="shared" si="64"/>
        <v/>
      </c>
      <c r="N507" s="34" t="str">
        <f t="shared" si="65"/>
        <v/>
      </c>
      <c r="O507" s="34" t="str">
        <f t="shared" si="62"/>
        <v/>
      </c>
      <c r="P507" s="34" t="str">
        <f>IF(A507="","",IFERROR(VLOOKUP(A507,'表3（采购界面）'!A:J,10,0),"NA"))</f>
        <v/>
      </c>
      <c r="Q507" s="34" t="str">
        <f>IF(A507="","",IFERROR(VLOOKUP(A507,'表3（采购界面）'!A:Z,11,0),"NA"))</f>
        <v/>
      </c>
      <c r="R507" s="34" t="str">
        <f t="shared" si="66"/>
        <v/>
      </c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</row>
    <row r="508" spans="10:33" x14ac:dyDescent="0.2">
      <c r="J508" s="34"/>
      <c r="K508" s="34" t="str">
        <f t="shared" si="63"/>
        <v/>
      </c>
      <c r="L508" s="34" t="str">
        <f t="shared" si="61"/>
        <v/>
      </c>
      <c r="M508" s="34" t="str">
        <f t="shared" si="64"/>
        <v/>
      </c>
      <c r="N508" s="34" t="str">
        <f t="shared" si="65"/>
        <v/>
      </c>
      <c r="O508" s="34" t="str">
        <f t="shared" si="62"/>
        <v/>
      </c>
      <c r="P508" s="34" t="str">
        <f>IF(A508="","",IFERROR(VLOOKUP(A508,'表3（采购界面）'!A:J,10,0),"NA"))</f>
        <v/>
      </c>
      <c r="Q508" s="34" t="str">
        <f>IF(A508="","",IFERROR(VLOOKUP(A508,'表3（采购界面）'!A:Z,11,0),"NA"))</f>
        <v/>
      </c>
      <c r="R508" s="34" t="str">
        <f t="shared" si="66"/>
        <v/>
      </c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</row>
    <row r="509" spans="10:33" x14ac:dyDescent="0.2">
      <c r="J509" s="34"/>
      <c r="K509" s="34" t="str">
        <f t="shared" si="63"/>
        <v/>
      </c>
      <c r="L509" s="34" t="str">
        <f t="shared" si="61"/>
        <v/>
      </c>
      <c r="M509" s="34" t="str">
        <f t="shared" si="64"/>
        <v/>
      </c>
      <c r="N509" s="34" t="str">
        <f t="shared" si="65"/>
        <v/>
      </c>
      <c r="O509" s="34" t="str">
        <f t="shared" si="62"/>
        <v/>
      </c>
      <c r="P509" s="34" t="str">
        <f>IF(A509="","",IFERROR(VLOOKUP(A509,'表3（采购界面）'!A:J,10,0),"NA"))</f>
        <v/>
      </c>
      <c r="Q509" s="34" t="str">
        <f>IF(A509="","",IFERROR(VLOOKUP(A509,'表3（采购界面）'!A:Z,11,0),"NA"))</f>
        <v/>
      </c>
      <c r="R509" s="34" t="str">
        <f t="shared" si="66"/>
        <v/>
      </c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</row>
    <row r="510" spans="10:33" x14ac:dyDescent="0.2">
      <c r="J510" s="34"/>
      <c r="K510" s="34" t="str">
        <f t="shared" si="63"/>
        <v/>
      </c>
      <c r="L510" s="34" t="str">
        <f t="shared" si="61"/>
        <v/>
      </c>
      <c r="M510" s="34" t="str">
        <f t="shared" si="64"/>
        <v/>
      </c>
      <c r="N510" s="34" t="str">
        <f t="shared" si="65"/>
        <v/>
      </c>
      <c r="O510" s="34" t="str">
        <f t="shared" si="62"/>
        <v/>
      </c>
      <c r="P510" s="34" t="str">
        <f>IF(A510="","",IFERROR(VLOOKUP(A510,'表3（采购界面）'!A:J,10,0),"NA"))</f>
        <v/>
      </c>
      <c r="Q510" s="34" t="str">
        <f>IF(A510="","",IFERROR(VLOOKUP(A510,'表3（采购界面）'!A:Z,11,0),"NA"))</f>
        <v/>
      </c>
      <c r="R510" s="34" t="str">
        <f t="shared" si="66"/>
        <v/>
      </c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</row>
    <row r="511" spans="10:33" x14ac:dyDescent="0.2">
      <c r="J511" s="34"/>
      <c r="K511" s="34" t="str">
        <f t="shared" si="63"/>
        <v/>
      </c>
      <c r="L511" s="34" t="str">
        <f t="shared" si="61"/>
        <v/>
      </c>
      <c r="M511" s="34" t="str">
        <f t="shared" si="64"/>
        <v/>
      </c>
      <c r="N511" s="34" t="str">
        <f t="shared" si="65"/>
        <v/>
      </c>
      <c r="O511" s="34" t="str">
        <f t="shared" si="62"/>
        <v/>
      </c>
      <c r="P511" s="34" t="str">
        <f>IF(A511="","",IFERROR(VLOOKUP(A511,'表3（采购界面）'!A:J,10,0),"NA"))</f>
        <v/>
      </c>
      <c r="Q511" s="34" t="str">
        <f>IF(A511="","",IFERROR(VLOOKUP(A511,'表3（采购界面）'!A:Z,11,0),"NA"))</f>
        <v/>
      </c>
      <c r="R511" s="34" t="str">
        <f t="shared" si="66"/>
        <v/>
      </c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</row>
    <row r="512" spans="10:33" x14ac:dyDescent="0.2">
      <c r="J512" s="34"/>
      <c r="K512" s="34" t="str">
        <f t="shared" si="63"/>
        <v/>
      </c>
      <c r="L512" s="34" t="str">
        <f t="shared" si="61"/>
        <v/>
      </c>
      <c r="M512" s="34" t="str">
        <f t="shared" si="64"/>
        <v/>
      </c>
      <c r="N512" s="34" t="str">
        <f t="shared" si="65"/>
        <v/>
      </c>
      <c r="O512" s="34" t="str">
        <f t="shared" si="62"/>
        <v/>
      </c>
      <c r="P512" s="34" t="str">
        <f>IF(A512="","",IFERROR(VLOOKUP(A512,'表3（采购界面）'!A:J,10,0),"NA"))</f>
        <v/>
      </c>
      <c r="Q512" s="34" t="str">
        <f>IF(A512="","",IFERROR(VLOOKUP(A512,'表3（采购界面）'!A:Z,11,0),"NA"))</f>
        <v/>
      </c>
      <c r="R512" s="34" t="str">
        <f t="shared" si="66"/>
        <v/>
      </c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</row>
    <row r="513" spans="10:33" x14ac:dyDescent="0.2">
      <c r="J513" s="34"/>
      <c r="K513" s="34" t="str">
        <f t="shared" si="63"/>
        <v/>
      </c>
      <c r="L513" s="34" t="str">
        <f t="shared" si="61"/>
        <v/>
      </c>
      <c r="M513" s="34" t="str">
        <f t="shared" si="64"/>
        <v/>
      </c>
      <c r="N513" s="34" t="str">
        <f t="shared" si="65"/>
        <v/>
      </c>
      <c r="O513" s="34" t="str">
        <f t="shared" si="62"/>
        <v/>
      </c>
      <c r="P513" s="34" t="str">
        <f>IF(A513="","",IFERROR(VLOOKUP(A513,'表3（采购界面）'!A:J,10,0),"NA"))</f>
        <v/>
      </c>
      <c r="Q513" s="34" t="str">
        <f>IF(A513="","",IFERROR(VLOOKUP(A513,'表3（采购界面）'!A:Z,11,0),"NA"))</f>
        <v/>
      </c>
      <c r="R513" s="34" t="str">
        <f t="shared" si="66"/>
        <v/>
      </c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</row>
    <row r="514" spans="10:33" x14ac:dyDescent="0.2">
      <c r="J514" s="34"/>
      <c r="K514" s="34" t="str">
        <f t="shared" si="63"/>
        <v/>
      </c>
      <c r="L514" s="34" t="str">
        <f t="shared" si="61"/>
        <v/>
      </c>
      <c r="M514" s="34" t="str">
        <f t="shared" si="64"/>
        <v/>
      </c>
      <c r="N514" s="34" t="str">
        <f t="shared" si="65"/>
        <v/>
      </c>
      <c r="O514" s="34" t="str">
        <f t="shared" si="62"/>
        <v/>
      </c>
      <c r="P514" s="34" t="str">
        <f>IF(A514="","",IFERROR(VLOOKUP(A514,'表3（采购界面）'!A:J,10,0),"NA"))</f>
        <v/>
      </c>
      <c r="Q514" s="34" t="str">
        <f>IF(A514="","",IFERROR(VLOOKUP(A514,'表3（采购界面）'!A:Z,11,0),"NA"))</f>
        <v/>
      </c>
      <c r="R514" s="34" t="str">
        <f t="shared" si="66"/>
        <v/>
      </c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</row>
    <row r="515" spans="10:33" x14ac:dyDescent="0.2">
      <c r="J515" s="34"/>
      <c r="K515" s="34" t="str">
        <f t="shared" si="63"/>
        <v/>
      </c>
      <c r="L515" s="34" t="str">
        <f t="shared" si="61"/>
        <v/>
      </c>
      <c r="M515" s="34" t="str">
        <f t="shared" si="64"/>
        <v/>
      </c>
      <c r="N515" s="34" t="str">
        <f t="shared" si="65"/>
        <v/>
      </c>
      <c r="O515" s="34" t="str">
        <f t="shared" si="62"/>
        <v/>
      </c>
      <c r="P515" s="34" t="str">
        <f>IF(A515="","",IFERROR(VLOOKUP(A515,'表3（采购界面）'!A:J,10,0),"NA"))</f>
        <v/>
      </c>
      <c r="Q515" s="34" t="str">
        <f>IF(A515="","",IFERROR(VLOOKUP(A515,'表3（采购界面）'!A:Z,11,0),"NA"))</f>
        <v/>
      </c>
      <c r="R515" s="34" t="str">
        <f t="shared" si="66"/>
        <v/>
      </c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</row>
    <row r="516" spans="10:33" x14ac:dyDescent="0.2">
      <c r="J516" s="34"/>
      <c r="K516" s="34" t="str">
        <f t="shared" si="63"/>
        <v/>
      </c>
      <c r="L516" s="34" t="str">
        <f t="shared" si="61"/>
        <v/>
      </c>
      <c r="M516" s="34" t="str">
        <f t="shared" si="64"/>
        <v/>
      </c>
      <c r="N516" s="34" t="str">
        <f t="shared" si="65"/>
        <v/>
      </c>
      <c r="O516" s="34" t="str">
        <f t="shared" si="62"/>
        <v/>
      </c>
      <c r="P516" s="34" t="str">
        <f>IF(A516="","",IFERROR(VLOOKUP(A516,'表3（采购界面）'!A:J,10,0),"NA"))</f>
        <v/>
      </c>
      <c r="Q516" s="34" t="str">
        <f>IF(A516="","",IFERROR(VLOOKUP(A516,'表3（采购界面）'!A:Z,11,0),"NA"))</f>
        <v/>
      </c>
      <c r="R516" s="34" t="str">
        <f t="shared" si="66"/>
        <v/>
      </c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</row>
    <row r="517" spans="10:33" x14ac:dyDescent="0.2">
      <c r="J517" s="34"/>
      <c r="K517" s="34" t="str">
        <f t="shared" si="63"/>
        <v/>
      </c>
      <c r="L517" s="34" t="str">
        <f t="shared" ref="L517:L580" si="67">_xlfn.IFS(LEFT(A517)="1","MB",LEFT(A517)="2","WB",LEFT(A517)="3","WB",AND(LEFT(A517)="4",D517&lt;&gt;"中国",J517&lt;&gt;"Y01"),"FX",A517&lt;&gt;"","EX",A517="","")</f>
        <v/>
      </c>
      <c r="M517" s="34" t="str">
        <f t="shared" si="64"/>
        <v/>
      </c>
      <c r="N517" s="34" t="str">
        <f t="shared" si="65"/>
        <v/>
      </c>
      <c r="O517" s="34" t="str">
        <f t="shared" ref="O517:O580" si="68">IF(OR(LEFT(A517,1)="4",LEFT(A517,1)="5"),"NA","")</f>
        <v/>
      </c>
      <c r="P517" s="34" t="str">
        <f>IF(A517="","",IFERROR(VLOOKUP(A517,'表3（采购界面）'!A:J,10,0),"NA"))</f>
        <v/>
      </c>
      <c r="Q517" s="34" t="str">
        <f>IF(A517="","",IFERROR(VLOOKUP(A517,'表3（采购界面）'!A:Z,11,0),"NA"))</f>
        <v/>
      </c>
      <c r="R517" s="34" t="str">
        <f t="shared" si="66"/>
        <v/>
      </c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</row>
    <row r="518" spans="10:33" x14ac:dyDescent="0.2">
      <c r="J518" s="34"/>
      <c r="K518" s="34" t="str">
        <f t="shared" ref="K518:K581" si="69">_xlfn.IFS(AND(LEFT(A518,1)="4",D518="中国"),"ND",AND(LEFT(A518,1)="5",D518="中国"),"ND",AND(LEFT(A518,1)="5",D518&lt;&gt;"中国"),"M2",A518="","",A518&lt;&gt;"","PD")</f>
        <v/>
      </c>
      <c r="L518" s="34" t="str">
        <f t="shared" si="67"/>
        <v/>
      </c>
      <c r="M518" s="34" t="str">
        <f t="shared" ref="M518:M581" si="70">IF(OR(L518="FX",L518=""),"","NA")</f>
        <v/>
      </c>
      <c r="N518" s="34" t="str">
        <f t="shared" ref="N518:N581" si="71">IF(A518="","","NA")</f>
        <v/>
      </c>
      <c r="O518" s="34" t="str">
        <f t="shared" si="68"/>
        <v/>
      </c>
      <c r="P518" s="34" t="str">
        <f>IF(A518="","",IFERROR(VLOOKUP(A518,'表3（采购界面）'!A:J,10,0),"NA"))</f>
        <v/>
      </c>
      <c r="Q518" s="34" t="str">
        <f>IF(A518="","",IFERROR(VLOOKUP(A518,'表3（采购界面）'!A:Z,11,0),"NA"))</f>
        <v/>
      </c>
      <c r="R518" s="34" t="str">
        <f t="shared" ref="R518:R581" si="72">IF(A518="","",IF(OR(LEFT(A518,1)="1",LEFT(A518,1)="2",LEFT(A518,1)="3"),"F","E"))</f>
        <v/>
      </c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</row>
    <row r="519" spans="10:33" x14ac:dyDescent="0.2">
      <c r="J519" s="34"/>
      <c r="K519" s="34" t="str">
        <f t="shared" si="69"/>
        <v/>
      </c>
      <c r="L519" s="34" t="str">
        <f t="shared" si="67"/>
        <v/>
      </c>
      <c r="M519" s="34" t="str">
        <f t="shared" si="70"/>
        <v/>
      </c>
      <c r="N519" s="34" t="str">
        <f t="shared" si="71"/>
        <v/>
      </c>
      <c r="O519" s="34" t="str">
        <f t="shared" si="68"/>
        <v/>
      </c>
      <c r="P519" s="34" t="str">
        <f>IF(A519="","",IFERROR(VLOOKUP(A519,'表3（采购界面）'!A:J,10,0),"NA"))</f>
        <v/>
      </c>
      <c r="Q519" s="34" t="str">
        <f>IF(A519="","",IFERROR(VLOOKUP(A519,'表3（采购界面）'!A:Z,11,0),"NA"))</f>
        <v/>
      </c>
      <c r="R519" s="34" t="str">
        <f t="shared" si="72"/>
        <v/>
      </c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</row>
    <row r="520" spans="10:33" x14ac:dyDescent="0.2">
      <c r="J520" s="34"/>
      <c r="K520" s="34" t="str">
        <f t="shared" si="69"/>
        <v/>
      </c>
      <c r="L520" s="34" t="str">
        <f t="shared" si="67"/>
        <v/>
      </c>
      <c r="M520" s="34" t="str">
        <f t="shared" si="70"/>
        <v/>
      </c>
      <c r="N520" s="34" t="str">
        <f t="shared" si="71"/>
        <v/>
      </c>
      <c r="O520" s="34" t="str">
        <f t="shared" si="68"/>
        <v/>
      </c>
      <c r="P520" s="34" t="str">
        <f>IF(A520="","",IFERROR(VLOOKUP(A520,'表3（采购界面）'!A:J,10,0),"NA"))</f>
        <v/>
      </c>
      <c r="Q520" s="34" t="str">
        <f>IF(A520="","",IFERROR(VLOOKUP(A520,'表3（采购界面）'!A:Z,11,0),"NA"))</f>
        <v/>
      </c>
      <c r="R520" s="34" t="str">
        <f t="shared" si="72"/>
        <v/>
      </c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</row>
    <row r="521" spans="10:33" x14ac:dyDescent="0.2">
      <c r="J521" s="34"/>
      <c r="K521" s="34" t="str">
        <f t="shared" si="69"/>
        <v/>
      </c>
      <c r="L521" s="34" t="str">
        <f t="shared" si="67"/>
        <v/>
      </c>
      <c r="M521" s="34" t="str">
        <f t="shared" si="70"/>
        <v/>
      </c>
      <c r="N521" s="34" t="str">
        <f t="shared" si="71"/>
        <v/>
      </c>
      <c r="O521" s="34" t="str">
        <f t="shared" si="68"/>
        <v/>
      </c>
      <c r="P521" s="34" t="str">
        <f>IF(A521="","",IFERROR(VLOOKUP(A521,'表3（采购界面）'!A:J,10,0),"NA"))</f>
        <v/>
      </c>
      <c r="Q521" s="34" t="str">
        <f>IF(A521="","",IFERROR(VLOOKUP(A521,'表3（采购界面）'!A:Z,11,0),"NA"))</f>
        <v/>
      </c>
      <c r="R521" s="34" t="str">
        <f t="shared" si="72"/>
        <v/>
      </c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</row>
    <row r="522" spans="10:33" x14ac:dyDescent="0.2">
      <c r="J522" s="34"/>
      <c r="K522" s="34" t="str">
        <f t="shared" si="69"/>
        <v/>
      </c>
      <c r="L522" s="34" t="str">
        <f t="shared" si="67"/>
        <v/>
      </c>
      <c r="M522" s="34" t="str">
        <f t="shared" si="70"/>
        <v/>
      </c>
      <c r="N522" s="34" t="str">
        <f t="shared" si="71"/>
        <v/>
      </c>
      <c r="O522" s="34" t="str">
        <f t="shared" si="68"/>
        <v/>
      </c>
      <c r="P522" s="34" t="str">
        <f>IF(A522="","",IFERROR(VLOOKUP(A522,'表3（采购界面）'!A:J,10,0),"NA"))</f>
        <v/>
      </c>
      <c r="Q522" s="34" t="str">
        <f>IF(A522="","",IFERROR(VLOOKUP(A522,'表3（采购界面）'!A:Z,11,0),"NA"))</f>
        <v/>
      </c>
      <c r="R522" s="34" t="str">
        <f t="shared" si="72"/>
        <v/>
      </c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</row>
    <row r="523" spans="10:33" x14ac:dyDescent="0.2">
      <c r="J523" s="34"/>
      <c r="K523" s="34" t="str">
        <f t="shared" si="69"/>
        <v/>
      </c>
      <c r="L523" s="34" t="str">
        <f t="shared" si="67"/>
        <v/>
      </c>
      <c r="M523" s="34" t="str">
        <f t="shared" si="70"/>
        <v/>
      </c>
      <c r="N523" s="34" t="str">
        <f t="shared" si="71"/>
        <v/>
      </c>
      <c r="O523" s="34" t="str">
        <f t="shared" si="68"/>
        <v/>
      </c>
      <c r="P523" s="34" t="str">
        <f>IF(A523="","",IFERROR(VLOOKUP(A523,'表3（采购界面）'!A:J,10,0),"NA"))</f>
        <v/>
      </c>
      <c r="Q523" s="34" t="str">
        <f>IF(A523="","",IFERROR(VLOOKUP(A523,'表3（采购界面）'!A:Z,11,0),"NA"))</f>
        <v/>
      </c>
      <c r="R523" s="34" t="str">
        <f t="shared" si="72"/>
        <v/>
      </c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</row>
    <row r="524" spans="10:33" x14ac:dyDescent="0.2">
      <c r="J524" s="34"/>
      <c r="K524" s="34" t="str">
        <f t="shared" si="69"/>
        <v/>
      </c>
      <c r="L524" s="34" t="str">
        <f t="shared" si="67"/>
        <v/>
      </c>
      <c r="M524" s="34" t="str">
        <f t="shared" si="70"/>
        <v/>
      </c>
      <c r="N524" s="34" t="str">
        <f t="shared" si="71"/>
        <v/>
      </c>
      <c r="O524" s="34" t="str">
        <f t="shared" si="68"/>
        <v/>
      </c>
      <c r="P524" s="34" t="str">
        <f>IF(A524="","",IFERROR(VLOOKUP(A524,'表3（采购界面）'!A:J,10,0),"NA"))</f>
        <v/>
      </c>
      <c r="Q524" s="34" t="str">
        <f>IF(A524="","",IFERROR(VLOOKUP(A524,'表3（采购界面）'!A:Z,11,0),"NA"))</f>
        <v/>
      </c>
      <c r="R524" s="34" t="str">
        <f t="shared" si="72"/>
        <v/>
      </c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</row>
    <row r="525" spans="10:33" x14ac:dyDescent="0.2">
      <c r="J525" s="34"/>
      <c r="K525" s="34" t="str">
        <f t="shared" si="69"/>
        <v/>
      </c>
      <c r="L525" s="34" t="str">
        <f t="shared" si="67"/>
        <v/>
      </c>
      <c r="M525" s="34" t="str">
        <f t="shared" si="70"/>
        <v/>
      </c>
      <c r="N525" s="34" t="str">
        <f t="shared" si="71"/>
        <v/>
      </c>
      <c r="O525" s="34" t="str">
        <f t="shared" si="68"/>
        <v/>
      </c>
      <c r="P525" s="34" t="str">
        <f>IF(A525="","",IFERROR(VLOOKUP(A525,'表3（采购界面）'!A:J,10,0),"NA"))</f>
        <v/>
      </c>
      <c r="Q525" s="34" t="str">
        <f>IF(A525="","",IFERROR(VLOOKUP(A525,'表3（采购界面）'!A:Z,11,0),"NA"))</f>
        <v/>
      </c>
      <c r="R525" s="34" t="str">
        <f t="shared" si="72"/>
        <v/>
      </c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</row>
    <row r="526" spans="10:33" x14ac:dyDescent="0.2">
      <c r="J526" s="34"/>
      <c r="K526" s="34" t="str">
        <f t="shared" si="69"/>
        <v/>
      </c>
      <c r="L526" s="34" t="str">
        <f t="shared" si="67"/>
        <v/>
      </c>
      <c r="M526" s="34" t="str">
        <f t="shared" si="70"/>
        <v/>
      </c>
      <c r="N526" s="34" t="str">
        <f t="shared" si="71"/>
        <v/>
      </c>
      <c r="O526" s="34" t="str">
        <f t="shared" si="68"/>
        <v/>
      </c>
      <c r="P526" s="34" t="str">
        <f>IF(A526="","",IFERROR(VLOOKUP(A526,'表3（采购界面）'!A:J,10,0),"NA"))</f>
        <v/>
      </c>
      <c r="Q526" s="34" t="str">
        <f>IF(A526="","",IFERROR(VLOOKUP(A526,'表3（采购界面）'!A:Z,11,0),"NA"))</f>
        <v/>
      </c>
      <c r="R526" s="34" t="str">
        <f t="shared" si="72"/>
        <v/>
      </c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</row>
    <row r="527" spans="10:33" x14ac:dyDescent="0.2">
      <c r="J527" s="34"/>
      <c r="K527" s="34" t="str">
        <f t="shared" si="69"/>
        <v/>
      </c>
      <c r="L527" s="34" t="str">
        <f t="shared" si="67"/>
        <v/>
      </c>
      <c r="M527" s="34" t="str">
        <f t="shared" si="70"/>
        <v/>
      </c>
      <c r="N527" s="34" t="str">
        <f t="shared" si="71"/>
        <v/>
      </c>
      <c r="O527" s="34" t="str">
        <f t="shared" si="68"/>
        <v/>
      </c>
      <c r="P527" s="34" t="str">
        <f>IF(A527="","",IFERROR(VLOOKUP(A527,'表3（采购界面）'!A:J,10,0),"NA"))</f>
        <v/>
      </c>
      <c r="Q527" s="34" t="str">
        <f>IF(A527="","",IFERROR(VLOOKUP(A527,'表3（采购界面）'!A:Z,11,0),"NA"))</f>
        <v/>
      </c>
      <c r="R527" s="34" t="str">
        <f t="shared" si="72"/>
        <v/>
      </c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</row>
    <row r="528" spans="10:33" x14ac:dyDescent="0.2">
      <c r="J528" s="34"/>
      <c r="K528" s="34" t="str">
        <f t="shared" si="69"/>
        <v/>
      </c>
      <c r="L528" s="34" t="str">
        <f t="shared" si="67"/>
        <v/>
      </c>
      <c r="M528" s="34" t="str">
        <f t="shared" si="70"/>
        <v/>
      </c>
      <c r="N528" s="34" t="str">
        <f t="shared" si="71"/>
        <v/>
      </c>
      <c r="O528" s="34" t="str">
        <f t="shared" si="68"/>
        <v/>
      </c>
      <c r="P528" s="34" t="str">
        <f>IF(A528="","",IFERROR(VLOOKUP(A528,'表3（采购界面）'!A:J,10,0),"NA"))</f>
        <v/>
      </c>
      <c r="Q528" s="34" t="str">
        <f>IF(A528="","",IFERROR(VLOOKUP(A528,'表3（采购界面）'!A:Z,11,0),"NA"))</f>
        <v/>
      </c>
      <c r="R528" s="34" t="str">
        <f t="shared" si="72"/>
        <v/>
      </c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</row>
    <row r="529" spans="10:33" x14ac:dyDescent="0.2">
      <c r="J529" s="34"/>
      <c r="K529" s="34" t="str">
        <f t="shared" si="69"/>
        <v/>
      </c>
      <c r="L529" s="34" t="str">
        <f t="shared" si="67"/>
        <v/>
      </c>
      <c r="M529" s="34" t="str">
        <f t="shared" si="70"/>
        <v/>
      </c>
      <c r="N529" s="34" t="str">
        <f t="shared" si="71"/>
        <v/>
      </c>
      <c r="O529" s="34" t="str">
        <f t="shared" si="68"/>
        <v/>
      </c>
      <c r="P529" s="34" t="str">
        <f>IF(A529="","",IFERROR(VLOOKUP(A529,'表3（采购界面）'!A:J,10,0),"NA"))</f>
        <v/>
      </c>
      <c r="Q529" s="34" t="str">
        <f>IF(A529="","",IFERROR(VLOOKUP(A529,'表3（采购界面）'!A:Z,11,0),"NA"))</f>
        <v/>
      </c>
      <c r="R529" s="34" t="str">
        <f t="shared" si="72"/>
        <v/>
      </c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</row>
    <row r="530" spans="10:33" x14ac:dyDescent="0.2">
      <c r="J530" s="34"/>
      <c r="K530" s="34" t="str">
        <f t="shared" si="69"/>
        <v/>
      </c>
      <c r="L530" s="34" t="str">
        <f t="shared" si="67"/>
        <v/>
      </c>
      <c r="M530" s="34" t="str">
        <f t="shared" si="70"/>
        <v/>
      </c>
      <c r="N530" s="34" t="str">
        <f t="shared" si="71"/>
        <v/>
      </c>
      <c r="O530" s="34" t="str">
        <f t="shared" si="68"/>
        <v/>
      </c>
      <c r="P530" s="34" t="str">
        <f>IF(A530="","",IFERROR(VLOOKUP(A530,'表3（采购界面）'!A:J,10,0),"NA"))</f>
        <v/>
      </c>
      <c r="Q530" s="34" t="str">
        <f>IF(A530="","",IFERROR(VLOOKUP(A530,'表3（采购界面）'!A:Z,11,0),"NA"))</f>
        <v/>
      </c>
      <c r="R530" s="34" t="str">
        <f t="shared" si="72"/>
        <v/>
      </c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</row>
    <row r="531" spans="10:33" x14ac:dyDescent="0.2">
      <c r="J531" s="34"/>
      <c r="K531" s="34" t="str">
        <f t="shared" si="69"/>
        <v/>
      </c>
      <c r="L531" s="34" t="str">
        <f t="shared" si="67"/>
        <v/>
      </c>
      <c r="M531" s="34" t="str">
        <f t="shared" si="70"/>
        <v/>
      </c>
      <c r="N531" s="34" t="str">
        <f t="shared" si="71"/>
        <v/>
      </c>
      <c r="O531" s="34" t="str">
        <f t="shared" si="68"/>
        <v/>
      </c>
      <c r="P531" s="34" t="str">
        <f>IF(A531="","",IFERROR(VLOOKUP(A531,'表3（采购界面）'!A:J,10,0),"NA"))</f>
        <v/>
      </c>
      <c r="Q531" s="34" t="str">
        <f>IF(A531="","",IFERROR(VLOOKUP(A531,'表3（采购界面）'!A:Z,11,0),"NA"))</f>
        <v/>
      </c>
      <c r="R531" s="34" t="str">
        <f t="shared" si="72"/>
        <v/>
      </c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</row>
    <row r="532" spans="10:33" x14ac:dyDescent="0.2">
      <c r="J532" s="34"/>
      <c r="K532" s="34" t="str">
        <f t="shared" si="69"/>
        <v/>
      </c>
      <c r="L532" s="34" t="str">
        <f t="shared" si="67"/>
        <v/>
      </c>
      <c r="M532" s="34" t="str">
        <f t="shared" si="70"/>
        <v/>
      </c>
      <c r="N532" s="34" t="str">
        <f t="shared" si="71"/>
        <v/>
      </c>
      <c r="O532" s="34" t="str">
        <f t="shared" si="68"/>
        <v/>
      </c>
      <c r="P532" s="34" t="str">
        <f>IF(A532="","",IFERROR(VLOOKUP(A532,'表3（采购界面）'!A:J,10,0),"NA"))</f>
        <v/>
      </c>
      <c r="Q532" s="34" t="str">
        <f>IF(A532="","",IFERROR(VLOOKUP(A532,'表3（采购界面）'!A:Z,11,0),"NA"))</f>
        <v/>
      </c>
      <c r="R532" s="34" t="str">
        <f t="shared" si="72"/>
        <v/>
      </c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</row>
    <row r="533" spans="10:33" x14ac:dyDescent="0.2">
      <c r="J533" s="34"/>
      <c r="K533" s="34" t="str">
        <f t="shared" si="69"/>
        <v/>
      </c>
      <c r="L533" s="34" t="str">
        <f t="shared" si="67"/>
        <v/>
      </c>
      <c r="M533" s="34" t="str">
        <f t="shared" si="70"/>
        <v/>
      </c>
      <c r="N533" s="34" t="str">
        <f t="shared" si="71"/>
        <v/>
      </c>
      <c r="O533" s="34" t="str">
        <f t="shared" si="68"/>
        <v/>
      </c>
      <c r="P533" s="34" t="str">
        <f>IF(A533="","",IFERROR(VLOOKUP(A533,'表3（采购界面）'!A:J,10,0),"NA"))</f>
        <v/>
      </c>
      <c r="Q533" s="34" t="str">
        <f>IF(A533="","",IFERROR(VLOOKUP(A533,'表3（采购界面）'!A:Z,11,0),"NA"))</f>
        <v/>
      </c>
      <c r="R533" s="34" t="str">
        <f t="shared" si="72"/>
        <v/>
      </c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</row>
    <row r="534" spans="10:33" x14ac:dyDescent="0.2">
      <c r="J534" s="34"/>
      <c r="K534" s="34" t="str">
        <f t="shared" si="69"/>
        <v/>
      </c>
      <c r="L534" s="34" t="str">
        <f t="shared" si="67"/>
        <v/>
      </c>
      <c r="M534" s="34" t="str">
        <f t="shared" si="70"/>
        <v/>
      </c>
      <c r="N534" s="34" t="str">
        <f t="shared" si="71"/>
        <v/>
      </c>
      <c r="O534" s="34" t="str">
        <f t="shared" si="68"/>
        <v/>
      </c>
      <c r="P534" s="34" t="str">
        <f>IF(A534="","",IFERROR(VLOOKUP(A534,'表3（采购界面）'!A:J,10,0),"NA"))</f>
        <v/>
      </c>
      <c r="Q534" s="34" t="str">
        <f>IF(A534="","",IFERROR(VLOOKUP(A534,'表3（采购界面）'!A:Z,11,0),"NA"))</f>
        <v/>
      </c>
      <c r="R534" s="34" t="str">
        <f t="shared" si="72"/>
        <v/>
      </c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</row>
    <row r="535" spans="10:33" x14ac:dyDescent="0.2">
      <c r="J535" s="34"/>
      <c r="K535" s="34" t="str">
        <f t="shared" si="69"/>
        <v/>
      </c>
      <c r="L535" s="34" t="str">
        <f t="shared" si="67"/>
        <v/>
      </c>
      <c r="M535" s="34" t="str">
        <f t="shared" si="70"/>
        <v/>
      </c>
      <c r="N535" s="34" t="str">
        <f t="shared" si="71"/>
        <v/>
      </c>
      <c r="O535" s="34" t="str">
        <f t="shared" si="68"/>
        <v/>
      </c>
      <c r="P535" s="34" t="str">
        <f>IF(A535="","",IFERROR(VLOOKUP(A535,'表3（采购界面）'!A:J,10,0),"NA"))</f>
        <v/>
      </c>
      <c r="Q535" s="34" t="str">
        <f>IF(A535="","",IFERROR(VLOOKUP(A535,'表3（采购界面）'!A:Z,11,0),"NA"))</f>
        <v/>
      </c>
      <c r="R535" s="34" t="str">
        <f t="shared" si="72"/>
        <v/>
      </c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</row>
    <row r="536" spans="10:33" x14ac:dyDescent="0.2">
      <c r="J536" s="34"/>
      <c r="K536" s="34" t="str">
        <f t="shared" si="69"/>
        <v/>
      </c>
      <c r="L536" s="34" t="str">
        <f t="shared" si="67"/>
        <v/>
      </c>
      <c r="M536" s="34" t="str">
        <f t="shared" si="70"/>
        <v/>
      </c>
      <c r="N536" s="34" t="str">
        <f t="shared" si="71"/>
        <v/>
      </c>
      <c r="O536" s="34" t="str">
        <f t="shared" si="68"/>
        <v/>
      </c>
      <c r="P536" s="34" t="str">
        <f>IF(A536="","",IFERROR(VLOOKUP(A536,'表3（采购界面）'!A:J,10,0),"NA"))</f>
        <v/>
      </c>
      <c r="Q536" s="34" t="str">
        <f>IF(A536="","",IFERROR(VLOOKUP(A536,'表3（采购界面）'!A:Z,11,0),"NA"))</f>
        <v/>
      </c>
      <c r="R536" s="34" t="str">
        <f t="shared" si="72"/>
        <v/>
      </c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</row>
    <row r="537" spans="10:33" x14ac:dyDescent="0.2">
      <c r="J537" s="34"/>
      <c r="K537" s="34" t="str">
        <f t="shared" si="69"/>
        <v/>
      </c>
      <c r="L537" s="34" t="str">
        <f t="shared" si="67"/>
        <v/>
      </c>
      <c r="M537" s="34" t="str">
        <f t="shared" si="70"/>
        <v/>
      </c>
      <c r="N537" s="34" t="str">
        <f t="shared" si="71"/>
        <v/>
      </c>
      <c r="O537" s="34" t="str">
        <f t="shared" si="68"/>
        <v/>
      </c>
      <c r="P537" s="34" t="str">
        <f>IF(A537="","",IFERROR(VLOOKUP(A537,'表3（采购界面）'!A:J,10,0),"NA"))</f>
        <v/>
      </c>
      <c r="Q537" s="34" t="str">
        <f>IF(A537="","",IFERROR(VLOOKUP(A537,'表3（采购界面）'!A:Z,11,0),"NA"))</f>
        <v/>
      </c>
      <c r="R537" s="34" t="str">
        <f t="shared" si="72"/>
        <v/>
      </c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</row>
    <row r="538" spans="10:33" x14ac:dyDescent="0.2">
      <c r="J538" s="34"/>
      <c r="K538" s="34" t="str">
        <f t="shared" si="69"/>
        <v/>
      </c>
      <c r="L538" s="34" t="str">
        <f t="shared" si="67"/>
        <v/>
      </c>
      <c r="M538" s="34" t="str">
        <f t="shared" si="70"/>
        <v/>
      </c>
      <c r="N538" s="34" t="str">
        <f t="shared" si="71"/>
        <v/>
      </c>
      <c r="O538" s="34" t="str">
        <f t="shared" si="68"/>
        <v/>
      </c>
      <c r="P538" s="34" t="str">
        <f>IF(A538="","",IFERROR(VLOOKUP(A538,'表3（采购界面）'!A:J,10,0),"NA"))</f>
        <v/>
      </c>
      <c r="Q538" s="34" t="str">
        <f>IF(A538="","",IFERROR(VLOOKUP(A538,'表3（采购界面）'!A:Z,11,0),"NA"))</f>
        <v/>
      </c>
      <c r="R538" s="34" t="str">
        <f t="shared" si="72"/>
        <v/>
      </c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</row>
    <row r="539" spans="10:33" x14ac:dyDescent="0.2">
      <c r="J539" s="34"/>
      <c r="K539" s="34" t="str">
        <f t="shared" si="69"/>
        <v/>
      </c>
      <c r="L539" s="34" t="str">
        <f t="shared" si="67"/>
        <v/>
      </c>
      <c r="M539" s="34" t="str">
        <f t="shared" si="70"/>
        <v/>
      </c>
      <c r="N539" s="34" t="str">
        <f t="shared" si="71"/>
        <v/>
      </c>
      <c r="O539" s="34" t="str">
        <f t="shared" si="68"/>
        <v/>
      </c>
      <c r="P539" s="34" t="str">
        <f>IF(A539="","",IFERROR(VLOOKUP(A539,'表3（采购界面）'!A:J,10,0),"NA"))</f>
        <v/>
      </c>
      <c r="Q539" s="34" t="str">
        <f>IF(A539="","",IFERROR(VLOOKUP(A539,'表3（采购界面）'!A:Z,11,0),"NA"))</f>
        <v/>
      </c>
      <c r="R539" s="34" t="str">
        <f t="shared" si="72"/>
        <v/>
      </c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</row>
    <row r="540" spans="10:33" x14ac:dyDescent="0.2">
      <c r="J540" s="34"/>
      <c r="K540" s="34" t="str">
        <f t="shared" si="69"/>
        <v/>
      </c>
      <c r="L540" s="34" t="str">
        <f t="shared" si="67"/>
        <v/>
      </c>
      <c r="M540" s="34" t="str">
        <f t="shared" si="70"/>
        <v/>
      </c>
      <c r="N540" s="34" t="str">
        <f t="shared" si="71"/>
        <v/>
      </c>
      <c r="O540" s="34" t="str">
        <f t="shared" si="68"/>
        <v/>
      </c>
      <c r="P540" s="34" t="str">
        <f>IF(A540="","",IFERROR(VLOOKUP(A540,'表3（采购界面）'!A:J,10,0),"NA"))</f>
        <v/>
      </c>
      <c r="Q540" s="34" t="str">
        <f>IF(A540="","",IFERROR(VLOOKUP(A540,'表3（采购界面）'!A:Z,11,0),"NA"))</f>
        <v/>
      </c>
      <c r="R540" s="34" t="str">
        <f t="shared" si="72"/>
        <v/>
      </c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</row>
    <row r="541" spans="10:33" x14ac:dyDescent="0.2">
      <c r="J541" s="34"/>
      <c r="K541" s="34" t="str">
        <f t="shared" si="69"/>
        <v/>
      </c>
      <c r="L541" s="34" t="str">
        <f t="shared" si="67"/>
        <v/>
      </c>
      <c r="M541" s="34" t="str">
        <f t="shared" si="70"/>
        <v/>
      </c>
      <c r="N541" s="34" t="str">
        <f t="shared" si="71"/>
        <v/>
      </c>
      <c r="O541" s="34" t="str">
        <f t="shared" si="68"/>
        <v/>
      </c>
      <c r="P541" s="34" t="str">
        <f>IF(A541="","",IFERROR(VLOOKUP(A541,'表3（采购界面）'!A:J,10,0),"NA"))</f>
        <v/>
      </c>
      <c r="Q541" s="34" t="str">
        <f>IF(A541="","",IFERROR(VLOOKUP(A541,'表3（采购界面）'!A:Z,11,0),"NA"))</f>
        <v/>
      </c>
      <c r="R541" s="34" t="str">
        <f t="shared" si="72"/>
        <v/>
      </c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</row>
    <row r="542" spans="10:33" x14ac:dyDescent="0.2">
      <c r="J542" s="34"/>
      <c r="K542" s="34" t="str">
        <f t="shared" si="69"/>
        <v/>
      </c>
      <c r="L542" s="34" t="str">
        <f t="shared" si="67"/>
        <v/>
      </c>
      <c r="M542" s="34" t="str">
        <f t="shared" si="70"/>
        <v/>
      </c>
      <c r="N542" s="34" t="str">
        <f t="shared" si="71"/>
        <v/>
      </c>
      <c r="O542" s="34" t="str">
        <f t="shared" si="68"/>
        <v/>
      </c>
      <c r="P542" s="34" t="str">
        <f>IF(A542="","",IFERROR(VLOOKUP(A542,'表3（采购界面）'!A:J,10,0),"NA"))</f>
        <v/>
      </c>
      <c r="Q542" s="34" t="str">
        <f>IF(A542="","",IFERROR(VLOOKUP(A542,'表3（采购界面）'!A:Z,11,0),"NA"))</f>
        <v/>
      </c>
      <c r="R542" s="34" t="str">
        <f t="shared" si="72"/>
        <v/>
      </c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</row>
    <row r="543" spans="10:33" x14ac:dyDescent="0.2">
      <c r="J543" s="34"/>
      <c r="K543" s="34" t="str">
        <f t="shared" si="69"/>
        <v/>
      </c>
      <c r="L543" s="34" t="str">
        <f t="shared" si="67"/>
        <v/>
      </c>
      <c r="M543" s="34" t="str">
        <f t="shared" si="70"/>
        <v/>
      </c>
      <c r="N543" s="34" t="str">
        <f t="shared" si="71"/>
        <v/>
      </c>
      <c r="O543" s="34" t="str">
        <f t="shared" si="68"/>
        <v/>
      </c>
      <c r="P543" s="34" t="str">
        <f>IF(A543="","",IFERROR(VLOOKUP(A543,'表3（采购界面）'!A:J,10,0),"NA"))</f>
        <v/>
      </c>
      <c r="Q543" s="34" t="str">
        <f>IF(A543="","",IFERROR(VLOOKUP(A543,'表3（采购界面）'!A:Z,11,0),"NA"))</f>
        <v/>
      </c>
      <c r="R543" s="34" t="str">
        <f t="shared" si="72"/>
        <v/>
      </c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</row>
    <row r="544" spans="10:33" x14ac:dyDescent="0.2">
      <c r="J544" s="34"/>
      <c r="K544" s="34" t="str">
        <f t="shared" si="69"/>
        <v/>
      </c>
      <c r="L544" s="34" t="str">
        <f t="shared" si="67"/>
        <v/>
      </c>
      <c r="M544" s="34" t="str">
        <f t="shared" si="70"/>
        <v/>
      </c>
      <c r="N544" s="34" t="str">
        <f t="shared" si="71"/>
        <v/>
      </c>
      <c r="O544" s="34" t="str">
        <f t="shared" si="68"/>
        <v/>
      </c>
      <c r="P544" s="34" t="str">
        <f>IF(A544="","",IFERROR(VLOOKUP(A544,'表3（采购界面）'!A:J,10,0),"NA"))</f>
        <v/>
      </c>
      <c r="Q544" s="34" t="str">
        <f>IF(A544="","",IFERROR(VLOOKUP(A544,'表3（采购界面）'!A:Z,11,0),"NA"))</f>
        <v/>
      </c>
      <c r="R544" s="34" t="str">
        <f t="shared" si="72"/>
        <v/>
      </c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</row>
    <row r="545" spans="10:33" x14ac:dyDescent="0.2">
      <c r="J545" s="34"/>
      <c r="K545" s="34" t="str">
        <f t="shared" si="69"/>
        <v/>
      </c>
      <c r="L545" s="34" t="str">
        <f t="shared" si="67"/>
        <v/>
      </c>
      <c r="M545" s="34" t="str">
        <f t="shared" si="70"/>
        <v/>
      </c>
      <c r="N545" s="34" t="str">
        <f t="shared" si="71"/>
        <v/>
      </c>
      <c r="O545" s="34" t="str">
        <f t="shared" si="68"/>
        <v/>
      </c>
      <c r="P545" s="34" t="str">
        <f>IF(A545="","",IFERROR(VLOOKUP(A545,'表3（采购界面）'!A:J,10,0),"NA"))</f>
        <v/>
      </c>
      <c r="Q545" s="34" t="str">
        <f>IF(A545="","",IFERROR(VLOOKUP(A545,'表3（采购界面）'!A:Z,11,0),"NA"))</f>
        <v/>
      </c>
      <c r="R545" s="34" t="str">
        <f t="shared" si="72"/>
        <v/>
      </c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</row>
    <row r="546" spans="10:33" x14ac:dyDescent="0.2">
      <c r="J546" s="34"/>
      <c r="K546" s="34" t="str">
        <f t="shared" si="69"/>
        <v/>
      </c>
      <c r="L546" s="34" t="str">
        <f t="shared" si="67"/>
        <v/>
      </c>
      <c r="M546" s="34" t="str">
        <f t="shared" si="70"/>
        <v/>
      </c>
      <c r="N546" s="34" t="str">
        <f t="shared" si="71"/>
        <v/>
      </c>
      <c r="O546" s="34" t="str">
        <f t="shared" si="68"/>
        <v/>
      </c>
      <c r="P546" s="34" t="str">
        <f>IF(A546="","",IFERROR(VLOOKUP(A546,'表3（采购界面）'!A:J,10,0),"NA"))</f>
        <v/>
      </c>
      <c r="Q546" s="34" t="str">
        <f>IF(A546="","",IFERROR(VLOOKUP(A546,'表3（采购界面）'!A:Z,11,0),"NA"))</f>
        <v/>
      </c>
      <c r="R546" s="34" t="str">
        <f t="shared" si="72"/>
        <v/>
      </c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</row>
    <row r="547" spans="10:33" x14ac:dyDescent="0.2">
      <c r="J547" s="34"/>
      <c r="K547" s="34" t="str">
        <f t="shared" si="69"/>
        <v/>
      </c>
      <c r="L547" s="34" t="str">
        <f t="shared" si="67"/>
        <v/>
      </c>
      <c r="M547" s="34" t="str">
        <f t="shared" si="70"/>
        <v/>
      </c>
      <c r="N547" s="34" t="str">
        <f t="shared" si="71"/>
        <v/>
      </c>
      <c r="O547" s="34" t="str">
        <f t="shared" si="68"/>
        <v/>
      </c>
      <c r="P547" s="34" t="str">
        <f>IF(A547="","",IFERROR(VLOOKUP(A547,'表3（采购界面）'!A:J,10,0),"NA"))</f>
        <v/>
      </c>
      <c r="Q547" s="34" t="str">
        <f>IF(A547="","",IFERROR(VLOOKUP(A547,'表3（采购界面）'!A:Z,11,0),"NA"))</f>
        <v/>
      </c>
      <c r="R547" s="34" t="str">
        <f t="shared" si="72"/>
        <v/>
      </c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</row>
    <row r="548" spans="10:33" x14ac:dyDescent="0.2">
      <c r="J548" s="34"/>
      <c r="K548" s="34" t="str">
        <f t="shared" si="69"/>
        <v/>
      </c>
      <c r="L548" s="34" t="str">
        <f t="shared" si="67"/>
        <v/>
      </c>
      <c r="M548" s="34" t="str">
        <f t="shared" si="70"/>
        <v/>
      </c>
      <c r="N548" s="34" t="str">
        <f t="shared" si="71"/>
        <v/>
      </c>
      <c r="O548" s="34" t="str">
        <f t="shared" si="68"/>
        <v/>
      </c>
      <c r="P548" s="34" t="str">
        <f>IF(A548="","",IFERROR(VLOOKUP(A548,'表3（采购界面）'!A:J,10,0),"NA"))</f>
        <v/>
      </c>
      <c r="Q548" s="34" t="str">
        <f>IF(A548="","",IFERROR(VLOOKUP(A548,'表3（采购界面）'!A:Z,11,0),"NA"))</f>
        <v/>
      </c>
      <c r="R548" s="34" t="str">
        <f t="shared" si="72"/>
        <v/>
      </c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</row>
    <row r="549" spans="10:33" x14ac:dyDescent="0.2">
      <c r="J549" s="34"/>
      <c r="K549" s="34" t="str">
        <f t="shared" si="69"/>
        <v/>
      </c>
      <c r="L549" s="34" t="str">
        <f t="shared" si="67"/>
        <v/>
      </c>
      <c r="M549" s="34" t="str">
        <f t="shared" si="70"/>
        <v/>
      </c>
      <c r="N549" s="34" t="str">
        <f t="shared" si="71"/>
        <v/>
      </c>
      <c r="O549" s="34" t="str">
        <f t="shared" si="68"/>
        <v/>
      </c>
      <c r="P549" s="34" t="str">
        <f>IF(A549="","",IFERROR(VLOOKUP(A549,'表3（采购界面）'!A:J,10,0),"NA"))</f>
        <v/>
      </c>
      <c r="Q549" s="34" t="str">
        <f>IF(A549="","",IFERROR(VLOOKUP(A549,'表3（采购界面）'!A:Z,11,0),"NA"))</f>
        <v/>
      </c>
      <c r="R549" s="34" t="str">
        <f t="shared" si="72"/>
        <v/>
      </c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</row>
    <row r="550" spans="10:33" x14ac:dyDescent="0.2">
      <c r="J550" s="34"/>
      <c r="K550" s="34" t="str">
        <f t="shared" si="69"/>
        <v/>
      </c>
      <c r="L550" s="34" t="str">
        <f t="shared" si="67"/>
        <v/>
      </c>
      <c r="M550" s="34" t="str">
        <f t="shared" si="70"/>
        <v/>
      </c>
      <c r="N550" s="34" t="str">
        <f t="shared" si="71"/>
        <v/>
      </c>
      <c r="O550" s="34" t="str">
        <f t="shared" si="68"/>
        <v/>
      </c>
      <c r="P550" s="34" t="str">
        <f>IF(A550="","",IFERROR(VLOOKUP(A550,'表3（采购界面）'!A:J,10,0),"NA"))</f>
        <v/>
      </c>
      <c r="Q550" s="34" t="str">
        <f>IF(A550="","",IFERROR(VLOOKUP(A550,'表3（采购界面）'!A:Z,11,0),"NA"))</f>
        <v/>
      </c>
      <c r="R550" s="34" t="str">
        <f t="shared" si="72"/>
        <v/>
      </c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</row>
    <row r="551" spans="10:33" x14ac:dyDescent="0.2">
      <c r="J551" s="34"/>
      <c r="K551" s="34" t="str">
        <f t="shared" si="69"/>
        <v/>
      </c>
      <c r="L551" s="34" t="str">
        <f t="shared" si="67"/>
        <v/>
      </c>
      <c r="M551" s="34" t="str">
        <f t="shared" si="70"/>
        <v/>
      </c>
      <c r="N551" s="34" t="str">
        <f t="shared" si="71"/>
        <v/>
      </c>
      <c r="O551" s="34" t="str">
        <f t="shared" si="68"/>
        <v/>
      </c>
      <c r="P551" s="34" t="str">
        <f>IF(A551="","",IFERROR(VLOOKUP(A551,'表3（采购界面）'!A:J,10,0),"NA"))</f>
        <v/>
      </c>
      <c r="Q551" s="34" t="str">
        <f>IF(A551="","",IFERROR(VLOOKUP(A551,'表3（采购界面）'!A:Z,11,0),"NA"))</f>
        <v/>
      </c>
      <c r="R551" s="34" t="str">
        <f t="shared" si="72"/>
        <v/>
      </c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</row>
    <row r="552" spans="10:33" x14ac:dyDescent="0.2">
      <c r="J552" s="34"/>
      <c r="K552" s="34" t="str">
        <f t="shared" si="69"/>
        <v/>
      </c>
      <c r="L552" s="34" t="str">
        <f t="shared" si="67"/>
        <v/>
      </c>
      <c r="M552" s="34" t="str">
        <f t="shared" si="70"/>
        <v/>
      </c>
      <c r="N552" s="34" t="str">
        <f t="shared" si="71"/>
        <v/>
      </c>
      <c r="O552" s="34" t="str">
        <f t="shared" si="68"/>
        <v/>
      </c>
      <c r="P552" s="34" t="str">
        <f>IF(A552="","",IFERROR(VLOOKUP(A552,'表3（采购界面）'!A:J,10,0),"NA"))</f>
        <v/>
      </c>
      <c r="Q552" s="34" t="str">
        <f>IF(A552="","",IFERROR(VLOOKUP(A552,'表3（采购界面）'!A:Z,11,0),"NA"))</f>
        <v/>
      </c>
      <c r="R552" s="34" t="str">
        <f t="shared" si="72"/>
        <v/>
      </c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</row>
    <row r="553" spans="10:33" x14ac:dyDescent="0.2">
      <c r="J553" s="34"/>
      <c r="K553" s="34" t="str">
        <f t="shared" si="69"/>
        <v/>
      </c>
      <c r="L553" s="34" t="str">
        <f t="shared" si="67"/>
        <v/>
      </c>
      <c r="M553" s="34" t="str">
        <f t="shared" si="70"/>
        <v/>
      </c>
      <c r="N553" s="34" t="str">
        <f t="shared" si="71"/>
        <v/>
      </c>
      <c r="O553" s="34" t="str">
        <f t="shared" si="68"/>
        <v/>
      </c>
      <c r="P553" s="34" t="str">
        <f>IF(A553="","",IFERROR(VLOOKUP(A553,'表3（采购界面）'!A:J,10,0),"NA"))</f>
        <v/>
      </c>
      <c r="Q553" s="34" t="str">
        <f>IF(A553="","",IFERROR(VLOOKUP(A553,'表3（采购界面）'!A:Z,11,0),"NA"))</f>
        <v/>
      </c>
      <c r="R553" s="34" t="str">
        <f t="shared" si="72"/>
        <v/>
      </c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</row>
    <row r="554" spans="10:33" x14ac:dyDescent="0.2">
      <c r="J554" s="34"/>
      <c r="K554" s="34" t="str">
        <f t="shared" si="69"/>
        <v/>
      </c>
      <c r="L554" s="34" t="str">
        <f t="shared" si="67"/>
        <v/>
      </c>
      <c r="M554" s="34" t="str">
        <f t="shared" si="70"/>
        <v/>
      </c>
      <c r="N554" s="34" t="str">
        <f t="shared" si="71"/>
        <v/>
      </c>
      <c r="O554" s="34" t="str">
        <f t="shared" si="68"/>
        <v/>
      </c>
      <c r="P554" s="34" t="str">
        <f>IF(A554="","",IFERROR(VLOOKUP(A554,'表3（采购界面）'!A:J,10,0),"NA"))</f>
        <v/>
      </c>
      <c r="Q554" s="34" t="str">
        <f>IF(A554="","",IFERROR(VLOOKUP(A554,'表3（采购界面）'!A:Z,11,0),"NA"))</f>
        <v/>
      </c>
      <c r="R554" s="34" t="str">
        <f t="shared" si="72"/>
        <v/>
      </c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</row>
    <row r="555" spans="10:33" x14ac:dyDescent="0.2">
      <c r="J555" s="34"/>
      <c r="K555" s="34" t="str">
        <f t="shared" si="69"/>
        <v/>
      </c>
      <c r="L555" s="34" t="str">
        <f t="shared" si="67"/>
        <v/>
      </c>
      <c r="M555" s="34" t="str">
        <f t="shared" si="70"/>
        <v/>
      </c>
      <c r="N555" s="34" t="str">
        <f t="shared" si="71"/>
        <v/>
      </c>
      <c r="O555" s="34" t="str">
        <f t="shared" si="68"/>
        <v/>
      </c>
      <c r="P555" s="34" t="str">
        <f>IF(A555="","",IFERROR(VLOOKUP(A555,'表3（采购界面）'!A:J,10,0),"NA"))</f>
        <v/>
      </c>
      <c r="Q555" s="34" t="str">
        <f>IF(A555="","",IFERROR(VLOOKUP(A555,'表3（采购界面）'!A:Z,11,0),"NA"))</f>
        <v/>
      </c>
      <c r="R555" s="34" t="str">
        <f t="shared" si="72"/>
        <v/>
      </c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</row>
    <row r="556" spans="10:33" x14ac:dyDescent="0.2">
      <c r="J556" s="34"/>
      <c r="K556" s="34" t="str">
        <f t="shared" si="69"/>
        <v/>
      </c>
      <c r="L556" s="34" t="str">
        <f t="shared" si="67"/>
        <v/>
      </c>
      <c r="M556" s="34" t="str">
        <f t="shared" si="70"/>
        <v/>
      </c>
      <c r="N556" s="34" t="str">
        <f t="shared" si="71"/>
        <v/>
      </c>
      <c r="O556" s="34" t="str">
        <f t="shared" si="68"/>
        <v/>
      </c>
      <c r="P556" s="34" t="str">
        <f>IF(A556="","",IFERROR(VLOOKUP(A556,'表3（采购界面）'!A:J,10,0),"NA"))</f>
        <v/>
      </c>
      <c r="Q556" s="34" t="str">
        <f>IF(A556="","",IFERROR(VLOOKUP(A556,'表3（采购界面）'!A:Z,11,0),"NA"))</f>
        <v/>
      </c>
      <c r="R556" s="34" t="str">
        <f t="shared" si="72"/>
        <v/>
      </c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</row>
    <row r="557" spans="10:33" x14ac:dyDescent="0.2">
      <c r="J557" s="34"/>
      <c r="K557" s="34" t="str">
        <f t="shared" si="69"/>
        <v/>
      </c>
      <c r="L557" s="34" t="str">
        <f t="shared" si="67"/>
        <v/>
      </c>
      <c r="M557" s="34" t="str">
        <f t="shared" si="70"/>
        <v/>
      </c>
      <c r="N557" s="34" t="str">
        <f t="shared" si="71"/>
        <v/>
      </c>
      <c r="O557" s="34" t="str">
        <f t="shared" si="68"/>
        <v/>
      </c>
      <c r="P557" s="34" t="str">
        <f>IF(A557="","",IFERROR(VLOOKUP(A557,'表3（采购界面）'!A:J,10,0),"NA"))</f>
        <v/>
      </c>
      <c r="Q557" s="34" t="str">
        <f>IF(A557="","",IFERROR(VLOOKUP(A557,'表3（采购界面）'!A:Z,11,0),"NA"))</f>
        <v/>
      </c>
      <c r="R557" s="34" t="str">
        <f t="shared" si="72"/>
        <v/>
      </c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</row>
    <row r="558" spans="10:33" x14ac:dyDescent="0.2">
      <c r="J558" s="34"/>
      <c r="K558" s="34" t="str">
        <f t="shared" si="69"/>
        <v/>
      </c>
      <c r="L558" s="34" t="str">
        <f t="shared" si="67"/>
        <v/>
      </c>
      <c r="M558" s="34" t="str">
        <f t="shared" si="70"/>
        <v/>
      </c>
      <c r="N558" s="34" t="str">
        <f t="shared" si="71"/>
        <v/>
      </c>
      <c r="O558" s="34" t="str">
        <f t="shared" si="68"/>
        <v/>
      </c>
      <c r="P558" s="34" t="str">
        <f>IF(A558="","",IFERROR(VLOOKUP(A558,'表3（采购界面）'!A:J,10,0),"NA"))</f>
        <v/>
      </c>
      <c r="Q558" s="34" t="str">
        <f>IF(A558="","",IFERROR(VLOOKUP(A558,'表3（采购界面）'!A:Z,11,0),"NA"))</f>
        <v/>
      </c>
      <c r="R558" s="34" t="str">
        <f t="shared" si="72"/>
        <v/>
      </c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</row>
    <row r="559" spans="10:33" x14ac:dyDescent="0.2">
      <c r="J559" s="34"/>
      <c r="K559" s="34" t="str">
        <f t="shared" si="69"/>
        <v/>
      </c>
      <c r="L559" s="34" t="str">
        <f t="shared" si="67"/>
        <v/>
      </c>
      <c r="M559" s="34" t="str">
        <f t="shared" si="70"/>
        <v/>
      </c>
      <c r="N559" s="34" t="str">
        <f t="shared" si="71"/>
        <v/>
      </c>
      <c r="O559" s="34" t="str">
        <f t="shared" si="68"/>
        <v/>
      </c>
      <c r="P559" s="34" t="str">
        <f>IF(A559="","",IFERROR(VLOOKUP(A559,'表3（采购界面）'!A:J,10,0),"NA"))</f>
        <v/>
      </c>
      <c r="Q559" s="34" t="str">
        <f>IF(A559="","",IFERROR(VLOOKUP(A559,'表3（采购界面）'!A:Z,11,0),"NA"))</f>
        <v/>
      </c>
      <c r="R559" s="34" t="str">
        <f t="shared" si="72"/>
        <v/>
      </c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</row>
    <row r="560" spans="10:33" x14ac:dyDescent="0.2">
      <c r="J560" s="34"/>
      <c r="K560" s="34" t="str">
        <f t="shared" si="69"/>
        <v/>
      </c>
      <c r="L560" s="34" t="str">
        <f t="shared" si="67"/>
        <v/>
      </c>
      <c r="M560" s="34" t="str">
        <f t="shared" si="70"/>
        <v/>
      </c>
      <c r="N560" s="34" t="str">
        <f t="shared" si="71"/>
        <v/>
      </c>
      <c r="O560" s="34" t="str">
        <f t="shared" si="68"/>
        <v/>
      </c>
      <c r="P560" s="34" t="str">
        <f>IF(A560="","",IFERROR(VLOOKUP(A560,'表3（采购界面）'!A:J,10,0),"NA"))</f>
        <v/>
      </c>
      <c r="Q560" s="34" t="str">
        <f>IF(A560="","",IFERROR(VLOOKUP(A560,'表3（采购界面）'!A:Z,11,0),"NA"))</f>
        <v/>
      </c>
      <c r="R560" s="34" t="str">
        <f t="shared" si="72"/>
        <v/>
      </c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</row>
    <row r="561" spans="10:33" x14ac:dyDescent="0.2">
      <c r="J561" s="34"/>
      <c r="K561" s="34" t="str">
        <f t="shared" si="69"/>
        <v/>
      </c>
      <c r="L561" s="34" t="str">
        <f t="shared" si="67"/>
        <v/>
      </c>
      <c r="M561" s="34" t="str">
        <f t="shared" si="70"/>
        <v/>
      </c>
      <c r="N561" s="34" t="str">
        <f t="shared" si="71"/>
        <v/>
      </c>
      <c r="O561" s="34" t="str">
        <f t="shared" si="68"/>
        <v/>
      </c>
      <c r="P561" s="34" t="str">
        <f>IF(A561="","",IFERROR(VLOOKUP(A561,'表3（采购界面）'!A:J,10,0),"NA"))</f>
        <v/>
      </c>
      <c r="Q561" s="34" t="str">
        <f>IF(A561="","",IFERROR(VLOOKUP(A561,'表3（采购界面）'!A:Z,11,0),"NA"))</f>
        <v/>
      </c>
      <c r="R561" s="34" t="str">
        <f t="shared" si="72"/>
        <v/>
      </c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</row>
    <row r="562" spans="10:33" x14ac:dyDescent="0.2">
      <c r="J562" s="34"/>
      <c r="K562" s="34" t="str">
        <f t="shared" si="69"/>
        <v/>
      </c>
      <c r="L562" s="34" t="str">
        <f t="shared" si="67"/>
        <v/>
      </c>
      <c r="M562" s="34" t="str">
        <f t="shared" si="70"/>
        <v/>
      </c>
      <c r="N562" s="34" t="str">
        <f t="shared" si="71"/>
        <v/>
      </c>
      <c r="O562" s="34" t="str">
        <f t="shared" si="68"/>
        <v/>
      </c>
      <c r="P562" s="34" t="str">
        <f>IF(A562="","",IFERROR(VLOOKUP(A562,'表3（采购界面）'!A:J,10,0),"NA"))</f>
        <v/>
      </c>
      <c r="Q562" s="34" t="str">
        <f>IF(A562="","",IFERROR(VLOOKUP(A562,'表3（采购界面）'!A:Z,11,0),"NA"))</f>
        <v/>
      </c>
      <c r="R562" s="34" t="str">
        <f t="shared" si="72"/>
        <v/>
      </c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</row>
    <row r="563" spans="10:33" x14ac:dyDescent="0.2">
      <c r="J563" s="34"/>
      <c r="K563" s="34" t="str">
        <f t="shared" si="69"/>
        <v/>
      </c>
      <c r="L563" s="34" t="str">
        <f t="shared" si="67"/>
        <v/>
      </c>
      <c r="M563" s="34" t="str">
        <f t="shared" si="70"/>
        <v/>
      </c>
      <c r="N563" s="34" t="str">
        <f t="shared" si="71"/>
        <v/>
      </c>
      <c r="O563" s="34" t="str">
        <f t="shared" si="68"/>
        <v/>
      </c>
      <c r="P563" s="34" t="str">
        <f>IF(A563="","",IFERROR(VLOOKUP(A563,'表3（采购界面）'!A:J,10,0),"NA"))</f>
        <v/>
      </c>
      <c r="Q563" s="34" t="str">
        <f>IF(A563="","",IFERROR(VLOOKUP(A563,'表3（采购界面）'!A:Z,11,0),"NA"))</f>
        <v/>
      </c>
      <c r="R563" s="34" t="str">
        <f t="shared" si="72"/>
        <v/>
      </c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</row>
    <row r="564" spans="10:33" x14ac:dyDescent="0.2">
      <c r="J564" s="34"/>
      <c r="K564" s="34" t="str">
        <f t="shared" si="69"/>
        <v/>
      </c>
      <c r="L564" s="34" t="str">
        <f t="shared" si="67"/>
        <v/>
      </c>
      <c r="M564" s="34" t="str">
        <f t="shared" si="70"/>
        <v/>
      </c>
      <c r="N564" s="34" t="str">
        <f t="shared" si="71"/>
        <v/>
      </c>
      <c r="O564" s="34" t="str">
        <f t="shared" si="68"/>
        <v/>
      </c>
      <c r="P564" s="34" t="str">
        <f>IF(A564="","",IFERROR(VLOOKUP(A564,'表3（采购界面）'!A:J,10,0),"NA"))</f>
        <v/>
      </c>
      <c r="Q564" s="34" t="str">
        <f>IF(A564="","",IFERROR(VLOOKUP(A564,'表3（采购界面）'!A:Z,11,0),"NA"))</f>
        <v/>
      </c>
      <c r="R564" s="34" t="str">
        <f t="shared" si="72"/>
        <v/>
      </c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</row>
    <row r="565" spans="10:33" x14ac:dyDescent="0.2">
      <c r="J565" s="34"/>
      <c r="K565" s="34" t="str">
        <f t="shared" si="69"/>
        <v/>
      </c>
      <c r="L565" s="34" t="str">
        <f t="shared" si="67"/>
        <v/>
      </c>
      <c r="M565" s="34" t="str">
        <f t="shared" si="70"/>
        <v/>
      </c>
      <c r="N565" s="34" t="str">
        <f t="shared" si="71"/>
        <v/>
      </c>
      <c r="O565" s="34" t="str">
        <f t="shared" si="68"/>
        <v/>
      </c>
      <c r="P565" s="34" t="str">
        <f>IF(A565="","",IFERROR(VLOOKUP(A565,'表3（采购界面）'!A:J,10,0),"NA"))</f>
        <v/>
      </c>
      <c r="Q565" s="34" t="str">
        <f>IF(A565="","",IFERROR(VLOOKUP(A565,'表3（采购界面）'!A:Z,11,0),"NA"))</f>
        <v/>
      </c>
      <c r="R565" s="34" t="str">
        <f t="shared" si="72"/>
        <v/>
      </c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</row>
    <row r="566" spans="10:33" x14ac:dyDescent="0.2">
      <c r="J566" s="34"/>
      <c r="K566" s="34" t="str">
        <f t="shared" si="69"/>
        <v/>
      </c>
      <c r="L566" s="34" t="str">
        <f t="shared" si="67"/>
        <v/>
      </c>
      <c r="M566" s="34" t="str">
        <f t="shared" si="70"/>
        <v/>
      </c>
      <c r="N566" s="34" t="str">
        <f t="shared" si="71"/>
        <v/>
      </c>
      <c r="O566" s="34" t="str">
        <f t="shared" si="68"/>
        <v/>
      </c>
      <c r="P566" s="34" t="str">
        <f>IF(A566="","",IFERROR(VLOOKUP(A566,'表3（采购界面）'!A:J,10,0),"NA"))</f>
        <v/>
      </c>
      <c r="Q566" s="34" t="str">
        <f>IF(A566="","",IFERROR(VLOOKUP(A566,'表3（采购界面）'!A:Z,11,0),"NA"))</f>
        <v/>
      </c>
      <c r="R566" s="34" t="str">
        <f t="shared" si="72"/>
        <v/>
      </c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</row>
    <row r="567" spans="10:33" x14ac:dyDescent="0.2">
      <c r="J567" s="34"/>
      <c r="K567" s="34" t="str">
        <f t="shared" si="69"/>
        <v/>
      </c>
      <c r="L567" s="34" t="str">
        <f t="shared" si="67"/>
        <v/>
      </c>
      <c r="M567" s="34" t="str">
        <f t="shared" si="70"/>
        <v/>
      </c>
      <c r="N567" s="34" t="str">
        <f t="shared" si="71"/>
        <v/>
      </c>
      <c r="O567" s="34" t="str">
        <f t="shared" si="68"/>
        <v/>
      </c>
      <c r="P567" s="34" t="str">
        <f>IF(A567="","",IFERROR(VLOOKUP(A567,'表3（采购界面）'!A:J,10,0),"NA"))</f>
        <v/>
      </c>
      <c r="Q567" s="34" t="str">
        <f>IF(A567="","",IFERROR(VLOOKUP(A567,'表3（采购界面）'!A:Z,11,0),"NA"))</f>
        <v/>
      </c>
      <c r="R567" s="34" t="str">
        <f t="shared" si="72"/>
        <v/>
      </c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</row>
    <row r="568" spans="10:33" x14ac:dyDescent="0.2">
      <c r="J568" s="34"/>
      <c r="K568" s="34" t="str">
        <f t="shared" si="69"/>
        <v/>
      </c>
      <c r="L568" s="34" t="str">
        <f t="shared" si="67"/>
        <v/>
      </c>
      <c r="M568" s="34" t="str">
        <f t="shared" si="70"/>
        <v/>
      </c>
      <c r="N568" s="34" t="str">
        <f t="shared" si="71"/>
        <v/>
      </c>
      <c r="O568" s="34" t="str">
        <f t="shared" si="68"/>
        <v/>
      </c>
      <c r="P568" s="34" t="str">
        <f>IF(A568="","",IFERROR(VLOOKUP(A568,'表3（采购界面）'!A:J,10,0),"NA"))</f>
        <v/>
      </c>
      <c r="Q568" s="34" t="str">
        <f>IF(A568="","",IFERROR(VLOOKUP(A568,'表3（采购界面）'!A:Z,11,0),"NA"))</f>
        <v/>
      </c>
      <c r="R568" s="34" t="str">
        <f t="shared" si="72"/>
        <v/>
      </c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</row>
    <row r="569" spans="10:33" x14ac:dyDescent="0.2">
      <c r="J569" s="34"/>
      <c r="K569" s="34" t="str">
        <f t="shared" si="69"/>
        <v/>
      </c>
      <c r="L569" s="34" t="str">
        <f t="shared" si="67"/>
        <v/>
      </c>
      <c r="M569" s="34" t="str">
        <f t="shared" si="70"/>
        <v/>
      </c>
      <c r="N569" s="34" t="str">
        <f t="shared" si="71"/>
        <v/>
      </c>
      <c r="O569" s="34" t="str">
        <f t="shared" si="68"/>
        <v/>
      </c>
      <c r="P569" s="34" t="str">
        <f>IF(A569="","",IFERROR(VLOOKUP(A569,'表3（采购界面）'!A:J,10,0),"NA"))</f>
        <v/>
      </c>
      <c r="Q569" s="34" t="str">
        <f>IF(A569="","",IFERROR(VLOOKUP(A569,'表3（采购界面）'!A:Z,11,0),"NA"))</f>
        <v/>
      </c>
      <c r="R569" s="34" t="str">
        <f t="shared" si="72"/>
        <v/>
      </c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</row>
    <row r="570" spans="10:33" x14ac:dyDescent="0.2">
      <c r="J570" s="34"/>
      <c r="K570" s="34" t="str">
        <f t="shared" si="69"/>
        <v/>
      </c>
      <c r="L570" s="34" t="str">
        <f t="shared" si="67"/>
        <v/>
      </c>
      <c r="M570" s="34" t="str">
        <f t="shared" si="70"/>
        <v/>
      </c>
      <c r="N570" s="34" t="str">
        <f t="shared" si="71"/>
        <v/>
      </c>
      <c r="O570" s="34" t="str">
        <f t="shared" si="68"/>
        <v/>
      </c>
      <c r="P570" s="34" t="str">
        <f>IF(A570="","",IFERROR(VLOOKUP(A570,'表3（采购界面）'!A:J,10,0),"NA"))</f>
        <v/>
      </c>
      <c r="Q570" s="34" t="str">
        <f>IF(A570="","",IFERROR(VLOOKUP(A570,'表3（采购界面）'!A:Z,11,0),"NA"))</f>
        <v/>
      </c>
      <c r="R570" s="34" t="str">
        <f t="shared" si="72"/>
        <v/>
      </c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</row>
    <row r="571" spans="10:33" x14ac:dyDescent="0.2">
      <c r="J571" s="34"/>
      <c r="K571" s="34" t="str">
        <f t="shared" si="69"/>
        <v/>
      </c>
      <c r="L571" s="34" t="str">
        <f t="shared" si="67"/>
        <v/>
      </c>
      <c r="M571" s="34" t="str">
        <f t="shared" si="70"/>
        <v/>
      </c>
      <c r="N571" s="34" t="str">
        <f t="shared" si="71"/>
        <v/>
      </c>
      <c r="O571" s="34" t="str">
        <f t="shared" si="68"/>
        <v/>
      </c>
      <c r="P571" s="34" t="str">
        <f>IF(A571="","",IFERROR(VLOOKUP(A571,'表3（采购界面）'!A:J,10,0),"NA"))</f>
        <v/>
      </c>
      <c r="Q571" s="34" t="str">
        <f>IF(A571="","",IFERROR(VLOOKUP(A571,'表3（采购界面）'!A:Z,11,0),"NA"))</f>
        <v/>
      </c>
      <c r="R571" s="34" t="str">
        <f t="shared" si="72"/>
        <v/>
      </c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</row>
    <row r="572" spans="10:33" x14ac:dyDescent="0.2">
      <c r="J572" s="34"/>
      <c r="K572" s="34" t="str">
        <f t="shared" si="69"/>
        <v/>
      </c>
      <c r="L572" s="34" t="str">
        <f t="shared" si="67"/>
        <v/>
      </c>
      <c r="M572" s="34" t="str">
        <f t="shared" si="70"/>
        <v/>
      </c>
      <c r="N572" s="34" t="str">
        <f t="shared" si="71"/>
        <v/>
      </c>
      <c r="O572" s="34" t="str">
        <f t="shared" si="68"/>
        <v/>
      </c>
      <c r="P572" s="34" t="str">
        <f>IF(A572="","",IFERROR(VLOOKUP(A572,'表3（采购界面）'!A:J,10,0),"NA"))</f>
        <v/>
      </c>
      <c r="Q572" s="34" t="str">
        <f>IF(A572="","",IFERROR(VLOOKUP(A572,'表3（采购界面）'!A:Z,11,0),"NA"))</f>
        <v/>
      </c>
      <c r="R572" s="34" t="str">
        <f t="shared" si="72"/>
        <v/>
      </c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</row>
    <row r="573" spans="10:33" x14ac:dyDescent="0.2">
      <c r="J573" s="34"/>
      <c r="K573" s="34" t="str">
        <f t="shared" si="69"/>
        <v/>
      </c>
      <c r="L573" s="34" t="str">
        <f t="shared" si="67"/>
        <v/>
      </c>
      <c r="M573" s="34" t="str">
        <f t="shared" si="70"/>
        <v/>
      </c>
      <c r="N573" s="34" t="str">
        <f t="shared" si="71"/>
        <v/>
      </c>
      <c r="O573" s="34" t="str">
        <f t="shared" si="68"/>
        <v/>
      </c>
      <c r="P573" s="34" t="str">
        <f>IF(A573="","",IFERROR(VLOOKUP(A573,'表3（采购界面）'!A:J,10,0),"NA"))</f>
        <v/>
      </c>
      <c r="Q573" s="34" t="str">
        <f>IF(A573="","",IFERROR(VLOOKUP(A573,'表3（采购界面）'!A:Z,11,0),"NA"))</f>
        <v/>
      </c>
      <c r="R573" s="34" t="str">
        <f t="shared" si="72"/>
        <v/>
      </c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</row>
    <row r="574" spans="10:33" x14ac:dyDescent="0.2">
      <c r="J574" s="34"/>
      <c r="K574" s="34" t="str">
        <f t="shared" si="69"/>
        <v/>
      </c>
      <c r="L574" s="34" t="str">
        <f t="shared" si="67"/>
        <v/>
      </c>
      <c r="M574" s="34" t="str">
        <f t="shared" si="70"/>
        <v/>
      </c>
      <c r="N574" s="34" t="str">
        <f t="shared" si="71"/>
        <v/>
      </c>
      <c r="O574" s="34" t="str">
        <f t="shared" si="68"/>
        <v/>
      </c>
      <c r="P574" s="34" t="str">
        <f>IF(A574="","",IFERROR(VLOOKUP(A574,'表3（采购界面）'!A:J,10,0),"NA"))</f>
        <v/>
      </c>
      <c r="Q574" s="34" t="str">
        <f>IF(A574="","",IFERROR(VLOOKUP(A574,'表3（采购界面）'!A:Z,11,0),"NA"))</f>
        <v/>
      </c>
      <c r="R574" s="34" t="str">
        <f t="shared" si="72"/>
        <v/>
      </c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</row>
    <row r="575" spans="10:33" x14ac:dyDescent="0.2">
      <c r="J575" s="34"/>
      <c r="K575" s="34" t="str">
        <f t="shared" si="69"/>
        <v/>
      </c>
      <c r="L575" s="34" t="str">
        <f t="shared" si="67"/>
        <v/>
      </c>
      <c r="M575" s="34" t="str">
        <f t="shared" si="70"/>
        <v/>
      </c>
      <c r="N575" s="34" t="str">
        <f t="shared" si="71"/>
        <v/>
      </c>
      <c r="O575" s="34" t="str">
        <f t="shared" si="68"/>
        <v/>
      </c>
      <c r="P575" s="34" t="str">
        <f>IF(A575="","",IFERROR(VLOOKUP(A575,'表3（采购界面）'!A:J,10,0),"NA"))</f>
        <v/>
      </c>
      <c r="Q575" s="34" t="str">
        <f>IF(A575="","",IFERROR(VLOOKUP(A575,'表3（采购界面）'!A:Z,11,0),"NA"))</f>
        <v/>
      </c>
      <c r="R575" s="34" t="str">
        <f t="shared" si="72"/>
        <v/>
      </c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</row>
    <row r="576" spans="10:33" x14ac:dyDescent="0.2">
      <c r="J576" s="34"/>
      <c r="K576" s="34" t="str">
        <f t="shared" si="69"/>
        <v/>
      </c>
      <c r="L576" s="34" t="str">
        <f t="shared" si="67"/>
        <v/>
      </c>
      <c r="M576" s="34" t="str">
        <f t="shared" si="70"/>
        <v/>
      </c>
      <c r="N576" s="34" t="str">
        <f t="shared" si="71"/>
        <v/>
      </c>
      <c r="O576" s="34" t="str">
        <f t="shared" si="68"/>
        <v/>
      </c>
      <c r="P576" s="34" t="str">
        <f>IF(A576="","",IFERROR(VLOOKUP(A576,'表3（采购界面）'!A:J,10,0),"NA"))</f>
        <v/>
      </c>
      <c r="Q576" s="34" t="str">
        <f>IF(A576="","",IFERROR(VLOOKUP(A576,'表3（采购界面）'!A:Z,11,0),"NA"))</f>
        <v/>
      </c>
      <c r="R576" s="34" t="str">
        <f t="shared" si="72"/>
        <v/>
      </c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</row>
    <row r="577" spans="10:33" x14ac:dyDescent="0.2">
      <c r="J577" s="34"/>
      <c r="K577" s="34" t="str">
        <f t="shared" si="69"/>
        <v/>
      </c>
      <c r="L577" s="34" t="str">
        <f t="shared" si="67"/>
        <v/>
      </c>
      <c r="M577" s="34" t="str">
        <f t="shared" si="70"/>
        <v/>
      </c>
      <c r="N577" s="34" t="str">
        <f t="shared" si="71"/>
        <v/>
      </c>
      <c r="O577" s="34" t="str">
        <f t="shared" si="68"/>
        <v/>
      </c>
      <c r="P577" s="34" t="str">
        <f>IF(A577="","",IFERROR(VLOOKUP(A577,'表3（采购界面）'!A:J,10,0),"NA"))</f>
        <v/>
      </c>
      <c r="Q577" s="34" t="str">
        <f>IF(A577="","",IFERROR(VLOOKUP(A577,'表3（采购界面）'!A:Z,11,0),"NA"))</f>
        <v/>
      </c>
      <c r="R577" s="34" t="str">
        <f t="shared" si="72"/>
        <v/>
      </c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</row>
    <row r="578" spans="10:33" x14ac:dyDescent="0.2">
      <c r="J578" s="34"/>
      <c r="K578" s="34" t="str">
        <f t="shared" si="69"/>
        <v/>
      </c>
      <c r="L578" s="34" t="str">
        <f t="shared" si="67"/>
        <v/>
      </c>
      <c r="M578" s="34" t="str">
        <f t="shared" si="70"/>
        <v/>
      </c>
      <c r="N578" s="34" t="str">
        <f t="shared" si="71"/>
        <v/>
      </c>
      <c r="O578" s="34" t="str">
        <f t="shared" si="68"/>
        <v/>
      </c>
      <c r="P578" s="34" t="str">
        <f>IF(A578="","",IFERROR(VLOOKUP(A578,'表3（采购界面）'!A:J,10,0),"NA"))</f>
        <v/>
      </c>
      <c r="Q578" s="34" t="str">
        <f>IF(A578="","",IFERROR(VLOOKUP(A578,'表3（采购界面）'!A:Z,11,0),"NA"))</f>
        <v/>
      </c>
      <c r="R578" s="34" t="str">
        <f t="shared" si="72"/>
        <v/>
      </c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</row>
    <row r="579" spans="10:33" x14ac:dyDescent="0.2">
      <c r="J579" s="34"/>
      <c r="K579" s="34" t="str">
        <f t="shared" si="69"/>
        <v/>
      </c>
      <c r="L579" s="34" t="str">
        <f t="shared" si="67"/>
        <v/>
      </c>
      <c r="M579" s="34" t="str">
        <f t="shared" si="70"/>
        <v/>
      </c>
      <c r="N579" s="34" t="str">
        <f t="shared" si="71"/>
        <v/>
      </c>
      <c r="O579" s="34" t="str">
        <f t="shared" si="68"/>
        <v/>
      </c>
      <c r="P579" s="34" t="str">
        <f>IF(A579="","",IFERROR(VLOOKUP(A579,'表3（采购界面）'!A:J,10,0),"NA"))</f>
        <v/>
      </c>
      <c r="Q579" s="34" t="str">
        <f>IF(A579="","",IFERROR(VLOOKUP(A579,'表3（采购界面）'!A:Z,11,0),"NA"))</f>
        <v/>
      </c>
      <c r="R579" s="34" t="str">
        <f t="shared" si="72"/>
        <v/>
      </c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</row>
    <row r="580" spans="10:33" x14ac:dyDescent="0.2">
      <c r="J580" s="34"/>
      <c r="K580" s="34" t="str">
        <f t="shared" si="69"/>
        <v/>
      </c>
      <c r="L580" s="34" t="str">
        <f t="shared" si="67"/>
        <v/>
      </c>
      <c r="M580" s="34" t="str">
        <f t="shared" si="70"/>
        <v/>
      </c>
      <c r="N580" s="34" t="str">
        <f t="shared" si="71"/>
        <v/>
      </c>
      <c r="O580" s="34" t="str">
        <f t="shared" si="68"/>
        <v/>
      </c>
      <c r="P580" s="34" t="str">
        <f>IF(A580="","",IFERROR(VLOOKUP(A580,'表3（采购界面）'!A:J,10,0),"NA"))</f>
        <v/>
      </c>
      <c r="Q580" s="34" t="str">
        <f>IF(A580="","",IFERROR(VLOOKUP(A580,'表3（采购界面）'!A:Z,11,0),"NA"))</f>
        <v/>
      </c>
      <c r="R580" s="34" t="str">
        <f t="shared" si="72"/>
        <v/>
      </c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</row>
    <row r="581" spans="10:33" x14ac:dyDescent="0.2">
      <c r="J581" s="34"/>
      <c r="K581" s="34" t="str">
        <f t="shared" si="69"/>
        <v/>
      </c>
      <c r="L581" s="34" t="str">
        <f t="shared" ref="L581:L644" si="73">_xlfn.IFS(LEFT(A581)="1","MB",LEFT(A581)="2","WB",LEFT(A581)="3","WB",AND(LEFT(A581)="4",D581&lt;&gt;"中国",J581&lt;&gt;"Y01"),"FX",A581&lt;&gt;"","EX",A581="","")</f>
        <v/>
      </c>
      <c r="M581" s="34" t="str">
        <f t="shared" si="70"/>
        <v/>
      </c>
      <c r="N581" s="34" t="str">
        <f t="shared" si="71"/>
        <v/>
      </c>
      <c r="O581" s="34" t="str">
        <f t="shared" ref="O581:O644" si="74">IF(OR(LEFT(A581,1)="4",LEFT(A581,1)="5"),"NA","")</f>
        <v/>
      </c>
      <c r="P581" s="34" t="str">
        <f>IF(A581="","",IFERROR(VLOOKUP(A581,'表3（采购界面）'!A:J,10,0),"NA"))</f>
        <v/>
      </c>
      <c r="Q581" s="34" t="str">
        <f>IF(A581="","",IFERROR(VLOOKUP(A581,'表3（采购界面）'!A:Z,11,0),"NA"))</f>
        <v/>
      </c>
      <c r="R581" s="34" t="str">
        <f t="shared" si="72"/>
        <v/>
      </c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</row>
    <row r="582" spans="10:33" x14ac:dyDescent="0.2">
      <c r="J582" s="34"/>
      <c r="K582" s="34" t="str">
        <f t="shared" ref="K582:K645" si="75">_xlfn.IFS(AND(LEFT(A582,1)="4",D582="中国"),"ND",AND(LEFT(A582,1)="5",D582="中国"),"ND",AND(LEFT(A582,1)="5",D582&lt;&gt;"中国"),"M2",A582="","",A582&lt;&gt;"","PD")</f>
        <v/>
      </c>
      <c r="L582" s="34" t="str">
        <f t="shared" si="73"/>
        <v/>
      </c>
      <c r="M582" s="34" t="str">
        <f t="shared" ref="M582:M645" si="76">IF(OR(L582="FX",L582=""),"","NA")</f>
        <v/>
      </c>
      <c r="N582" s="34" t="str">
        <f t="shared" ref="N582:N645" si="77">IF(A582="","","NA")</f>
        <v/>
      </c>
      <c r="O582" s="34" t="str">
        <f t="shared" si="74"/>
        <v/>
      </c>
      <c r="P582" s="34" t="str">
        <f>IF(A582="","",IFERROR(VLOOKUP(A582,'表3（采购界面）'!A:J,10,0),"NA"))</f>
        <v/>
      </c>
      <c r="Q582" s="34" t="str">
        <f>IF(A582="","",IFERROR(VLOOKUP(A582,'表3（采购界面）'!A:Z,11,0),"NA"))</f>
        <v/>
      </c>
      <c r="R582" s="34" t="str">
        <f t="shared" ref="R582:R645" si="78">IF(A582="","",IF(OR(LEFT(A582,1)="1",LEFT(A582,1)="2",LEFT(A582,1)="3"),"F","E"))</f>
        <v/>
      </c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</row>
    <row r="583" spans="10:33" x14ac:dyDescent="0.2">
      <c r="J583" s="34"/>
      <c r="K583" s="34" t="str">
        <f t="shared" si="75"/>
        <v/>
      </c>
      <c r="L583" s="34" t="str">
        <f t="shared" si="73"/>
        <v/>
      </c>
      <c r="M583" s="34" t="str">
        <f t="shared" si="76"/>
        <v/>
      </c>
      <c r="N583" s="34" t="str">
        <f t="shared" si="77"/>
        <v/>
      </c>
      <c r="O583" s="34" t="str">
        <f t="shared" si="74"/>
        <v/>
      </c>
      <c r="P583" s="34" t="str">
        <f>IF(A583="","",IFERROR(VLOOKUP(A583,'表3（采购界面）'!A:J,10,0),"NA"))</f>
        <v/>
      </c>
      <c r="Q583" s="34" t="str">
        <f>IF(A583="","",IFERROR(VLOOKUP(A583,'表3（采购界面）'!A:Z,11,0),"NA"))</f>
        <v/>
      </c>
      <c r="R583" s="34" t="str">
        <f t="shared" si="78"/>
        <v/>
      </c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</row>
    <row r="584" spans="10:33" x14ac:dyDescent="0.2">
      <c r="J584" s="34"/>
      <c r="K584" s="34" t="str">
        <f t="shared" si="75"/>
        <v/>
      </c>
      <c r="L584" s="34" t="str">
        <f t="shared" si="73"/>
        <v/>
      </c>
      <c r="M584" s="34" t="str">
        <f t="shared" si="76"/>
        <v/>
      </c>
      <c r="N584" s="34" t="str">
        <f t="shared" si="77"/>
        <v/>
      </c>
      <c r="O584" s="34" t="str">
        <f t="shared" si="74"/>
        <v/>
      </c>
      <c r="P584" s="34" t="str">
        <f>IF(A584="","",IFERROR(VLOOKUP(A584,'表3（采购界面）'!A:J,10,0),"NA"))</f>
        <v/>
      </c>
      <c r="Q584" s="34" t="str">
        <f>IF(A584="","",IFERROR(VLOOKUP(A584,'表3（采购界面）'!A:Z,11,0),"NA"))</f>
        <v/>
      </c>
      <c r="R584" s="34" t="str">
        <f t="shared" si="78"/>
        <v/>
      </c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</row>
    <row r="585" spans="10:33" x14ac:dyDescent="0.2">
      <c r="J585" s="34"/>
      <c r="K585" s="34" t="str">
        <f t="shared" si="75"/>
        <v/>
      </c>
      <c r="L585" s="34" t="str">
        <f t="shared" si="73"/>
        <v/>
      </c>
      <c r="M585" s="34" t="str">
        <f t="shared" si="76"/>
        <v/>
      </c>
      <c r="N585" s="34" t="str">
        <f t="shared" si="77"/>
        <v/>
      </c>
      <c r="O585" s="34" t="str">
        <f t="shared" si="74"/>
        <v/>
      </c>
      <c r="P585" s="34" t="str">
        <f>IF(A585="","",IFERROR(VLOOKUP(A585,'表3（采购界面）'!A:J,10,0),"NA"))</f>
        <v/>
      </c>
      <c r="Q585" s="34" t="str">
        <f>IF(A585="","",IFERROR(VLOOKUP(A585,'表3（采购界面）'!A:Z,11,0),"NA"))</f>
        <v/>
      </c>
      <c r="R585" s="34" t="str">
        <f t="shared" si="78"/>
        <v/>
      </c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</row>
    <row r="586" spans="10:33" x14ac:dyDescent="0.2">
      <c r="J586" s="34"/>
      <c r="K586" s="34" t="str">
        <f t="shared" si="75"/>
        <v/>
      </c>
      <c r="L586" s="34" t="str">
        <f t="shared" si="73"/>
        <v/>
      </c>
      <c r="M586" s="34" t="str">
        <f t="shared" si="76"/>
        <v/>
      </c>
      <c r="N586" s="34" t="str">
        <f t="shared" si="77"/>
        <v/>
      </c>
      <c r="O586" s="34" t="str">
        <f t="shared" si="74"/>
        <v/>
      </c>
      <c r="P586" s="34" t="str">
        <f>IF(A586="","",IFERROR(VLOOKUP(A586,'表3（采购界面）'!A:J,10,0),"NA"))</f>
        <v/>
      </c>
      <c r="Q586" s="34" t="str">
        <f>IF(A586="","",IFERROR(VLOOKUP(A586,'表3（采购界面）'!A:Z,11,0),"NA"))</f>
        <v/>
      </c>
      <c r="R586" s="34" t="str">
        <f t="shared" si="78"/>
        <v/>
      </c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</row>
    <row r="587" spans="10:33" x14ac:dyDescent="0.2">
      <c r="J587" s="34"/>
      <c r="K587" s="34" t="str">
        <f t="shared" si="75"/>
        <v/>
      </c>
      <c r="L587" s="34" t="str">
        <f t="shared" si="73"/>
        <v/>
      </c>
      <c r="M587" s="34" t="str">
        <f t="shared" si="76"/>
        <v/>
      </c>
      <c r="N587" s="34" t="str">
        <f t="shared" si="77"/>
        <v/>
      </c>
      <c r="O587" s="34" t="str">
        <f t="shared" si="74"/>
        <v/>
      </c>
      <c r="P587" s="34" t="str">
        <f>IF(A587="","",IFERROR(VLOOKUP(A587,'表3（采购界面）'!A:J,10,0),"NA"))</f>
        <v/>
      </c>
      <c r="Q587" s="34" t="str">
        <f>IF(A587="","",IFERROR(VLOOKUP(A587,'表3（采购界面）'!A:Z,11,0),"NA"))</f>
        <v/>
      </c>
      <c r="R587" s="34" t="str">
        <f t="shared" si="78"/>
        <v/>
      </c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</row>
    <row r="588" spans="10:33" x14ac:dyDescent="0.2">
      <c r="J588" s="34"/>
      <c r="K588" s="34" t="str">
        <f t="shared" si="75"/>
        <v/>
      </c>
      <c r="L588" s="34" t="str">
        <f t="shared" si="73"/>
        <v/>
      </c>
      <c r="M588" s="34" t="str">
        <f t="shared" si="76"/>
        <v/>
      </c>
      <c r="N588" s="34" t="str">
        <f t="shared" si="77"/>
        <v/>
      </c>
      <c r="O588" s="34" t="str">
        <f t="shared" si="74"/>
        <v/>
      </c>
      <c r="P588" s="34" t="str">
        <f>IF(A588="","",IFERROR(VLOOKUP(A588,'表3（采购界面）'!A:J,10,0),"NA"))</f>
        <v/>
      </c>
      <c r="Q588" s="34" t="str">
        <f>IF(A588="","",IFERROR(VLOOKUP(A588,'表3（采购界面）'!A:Z,11,0),"NA"))</f>
        <v/>
      </c>
      <c r="R588" s="34" t="str">
        <f t="shared" si="78"/>
        <v/>
      </c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</row>
    <row r="589" spans="10:33" x14ac:dyDescent="0.2">
      <c r="J589" s="34"/>
      <c r="K589" s="34" t="str">
        <f t="shared" si="75"/>
        <v/>
      </c>
      <c r="L589" s="34" t="str">
        <f t="shared" si="73"/>
        <v/>
      </c>
      <c r="M589" s="34" t="str">
        <f t="shared" si="76"/>
        <v/>
      </c>
      <c r="N589" s="34" t="str">
        <f t="shared" si="77"/>
        <v/>
      </c>
      <c r="O589" s="34" t="str">
        <f t="shared" si="74"/>
        <v/>
      </c>
      <c r="P589" s="34" t="str">
        <f>IF(A589="","",IFERROR(VLOOKUP(A589,'表3（采购界面）'!A:J,10,0),"NA"))</f>
        <v/>
      </c>
      <c r="Q589" s="34" t="str">
        <f>IF(A589="","",IFERROR(VLOOKUP(A589,'表3（采购界面）'!A:Z,11,0),"NA"))</f>
        <v/>
      </c>
      <c r="R589" s="34" t="str">
        <f t="shared" si="78"/>
        <v/>
      </c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</row>
    <row r="590" spans="10:33" x14ac:dyDescent="0.2">
      <c r="J590" s="34"/>
      <c r="K590" s="34" t="str">
        <f t="shared" si="75"/>
        <v/>
      </c>
      <c r="L590" s="34" t="str">
        <f t="shared" si="73"/>
        <v/>
      </c>
      <c r="M590" s="34" t="str">
        <f t="shared" si="76"/>
        <v/>
      </c>
      <c r="N590" s="34" t="str">
        <f t="shared" si="77"/>
        <v/>
      </c>
      <c r="O590" s="34" t="str">
        <f t="shared" si="74"/>
        <v/>
      </c>
      <c r="P590" s="34" t="str">
        <f>IF(A590="","",IFERROR(VLOOKUP(A590,'表3（采购界面）'!A:J,10,0),"NA"))</f>
        <v/>
      </c>
      <c r="Q590" s="34" t="str">
        <f>IF(A590="","",IFERROR(VLOOKUP(A590,'表3（采购界面）'!A:Z,11,0),"NA"))</f>
        <v/>
      </c>
      <c r="R590" s="34" t="str">
        <f t="shared" si="78"/>
        <v/>
      </c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</row>
    <row r="591" spans="10:33" x14ac:dyDescent="0.2">
      <c r="J591" s="34"/>
      <c r="K591" s="34" t="str">
        <f t="shared" si="75"/>
        <v/>
      </c>
      <c r="L591" s="34" t="str">
        <f t="shared" si="73"/>
        <v/>
      </c>
      <c r="M591" s="34" t="str">
        <f t="shared" si="76"/>
        <v/>
      </c>
      <c r="N591" s="34" t="str">
        <f t="shared" si="77"/>
        <v/>
      </c>
      <c r="O591" s="34" t="str">
        <f t="shared" si="74"/>
        <v/>
      </c>
      <c r="P591" s="34" t="str">
        <f>IF(A591="","",IFERROR(VLOOKUP(A591,'表3（采购界面）'!A:J,10,0),"NA"))</f>
        <v/>
      </c>
      <c r="Q591" s="34" t="str">
        <f>IF(A591="","",IFERROR(VLOOKUP(A591,'表3（采购界面）'!A:Z,11,0),"NA"))</f>
        <v/>
      </c>
      <c r="R591" s="34" t="str">
        <f t="shared" si="78"/>
        <v/>
      </c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</row>
    <row r="592" spans="10:33" x14ac:dyDescent="0.2">
      <c r="J592" s="34"/>
      <c r="K592" s="34" t="str">
        <f t="shared" si="75"/>
        <v/>
      </c>
      <c r="L592" s="34" t="str">
        <f t="shared" si="73"/>
        <v/>
      </c>
      <c r="M592" s="34" t="str">
        <f t="shared" si="76"/>
        <v/>
      </c>
      <c r="N592" s="34" t="str">
        <f t="shared" si="77"/>
        <v/>
      </c>
      <c r="O592" s="34" t="str">
        <f t="shared" si="74"/>
        <v/>
      </c>
      <c r="P592" s="34" t="str">
        <f>IF(A592="","",IFERROR(VLOOKUP(A592,'表3（采购界面）'!A:J,10,0),"NA"))</f>
        <v/>
      </c>
      <c r="Q592" s="34" t="str">
        <f>IF(A592="","",IFERROR(VLOOKUP(A592,'表3（采购界面）'!A:Z,11,0),"NA"))</f>
        <v/>
      </c>
      <c r="R592" s="34" t="str">
        <f t="shared" si="78"/>
        <v/>
      </c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</row>
    <row r="593" spans="10:33" x14ac:dyDescent="0.2">
      <c r="J593" s="34"/>
      <c r="K593" s="34" t="str">
        <f t="shared" si="75"/>
        <v/>
      </c>
      <c r="L593" s="34" t="str">
        <f t="shared" si="73"/>
        <v/>
      </c>
      <c r="M593" s="34" t="str">
        <f t="shared" si="76"/>
        <v/>
      </c>
      <c r="N593" s="34" t="str">
        <f t="shared" si="77"/>
        <v/>
      </c>
      <c r="O593" s="34" t="str">
        <f t="shared" si="74"/>
        <v/>
      </c>
      <c r="P593" s="34" t="str">
        <f>IF(A593="","",IFERROR(VLOOKUP(A593,'表3（采购界面）'!A:J,10,0),"NA"))</f>
        <v/>
      </c>
      <c r="Q593" s="34" t="str">
        <f>IF(A593="","",IFERROR(VLOOKUP(A593,'表3（采购界面）'!A:Z,11,0),"NA"))</f>
        <v/>
      </c>
      <c r="R593" s="34" t="str">
        <f t="shared" si="78"/>
        <v/>
      </c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</row>
    <row r="594" spans="10:33" x14ac:dyDescent="0.2">
      <c r="J594" s="34"/>
      <c r="K594" s="34" t="str">
        <f t="shared" si="75"/>
        <v/>
      </c>
      <c r="L594" s="34" t="str">
        <f t="shared" si="73"/>
        <v/>
      </c>
      <c r="M594" s="34" t="str">
        <f t="shared" si="76"/>
        <v/>
      </c>
      <c r="N594" s="34" t="str">
        <f t="shared" si="77"/>
        <v/>
      </c>
      <c r="O594" s="34" t="str">
        <f t="shared" si="74"/>
        <v/>
      </c>
      <c r="P594" s="34" t="str">
        <f>IF(A594="","",IFERROR(VLOOKUP(A594,'表3（采购界面）'!A:J,10,0),"NA"))</f>
        <v/>
      </c>
      <c r="Q594" s="34" t="str">
        <f>IF(A594="","",IFERROR(VLOOKUP(A594,'表3（采购界面）'!A:Z,11,0),"NA"))</f>
        <v/>
      </c>
      <c r="R594" s="34" t="str">
        <f t="shared" si="78"/>
        <v/>
      </c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</row>
    <row r="595" spans="10:33" x14ac:dyDescent="0.2">
      <c r="J595" s="34"/>
      <c r="K595" s="34" t="str">
        <f t="shared" si="75"/>
        <v/>
      </c>
      <c r="L595" s="34" t="str">
        <f t="shared" si="73"/>
        <v/>
      </c>
      <c r="M595" s="34" t="str">
        <f t="shared" si="76"/>
        <v/>
      </c>
      <c r="N595" s="34" t="str">
        <f t="shared" si="77"/>
        <v/>
      </c>
      <c r="O595" s="34" t="str">
        <f t="shared" si="74"/>
        <v/>
      </c>
      <c r="P595" s="34" t="str">
        <f>IF(A595="","",IFERROR(VLOOKUP(A595,'表3（采购界面）'!A:J,10,0),"NA"))</f>
        <v/>
      </c>
      <c r="Q595" s="34" t="str">
        <f>IF(A595="","",IFERROR(VLOOKUP(A595,'表3（采购界面）'!A:Z,11,0),"NA"))</f>
        <v/>
      </c>
      <c r="R595" s="34" t="str">
        <f t="shared" si="78"/>
        <v/>
      </c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</row>
    <row r="596" spans="10:33" x14ac:dyDescent="0.2">
      <c r="J596" s="34"/>
      <c r="K596" s="34" t="str">
        <f t="shared" si="75"/>
        <v/>
      </c>
      <c r="L596" s="34" t="str">
        <f t="shared" si="73"/>
        <v/>
      </c>
      <c r="M596" s="34" t="str">
        <f t="shared" si="76"/>
        <v/>
      </c>
      <c r="N596" s="34" t="str">
        <f t="shared" si="77"/>
        <v/>
      </c>
      <c r="O596" s="34" t="str">
        <f t="shared" si="74"/>
        <v/>
      </c>
      <c r="P596" s="34" t="str">
        <f>IF(A596="","",IFERROR(VLOOKUP(A596,'表3（采购界面）'!A:J,10,0),"NA"))</f>
        <v/>
      </c>
      <c r="Q596" s="34" t="str">
        <f>IF(A596="","",IFERROR(VLOOKUP(A596,'表3（采购界面）'!A:Z,11,0),"NA"))</f>
        <v/>
      </c>
      <c r="R596" s="34" t="str">
        <f t="shared" si="78"/>
        <v/>
      </c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</row>
    <row r="597" spans="10:33" x14ac:dyDescent="0.2">
      <c r="J597" s="34"/>
      <c r="K597" s="34" t="str">
        <f t="shared" si="75"/>
        <v/>
      </c>
      <c r="L597" s="34" t="str">
        <f t="shared" si="73"/>
        <v/>
      </c>
      <c r="M597" s="34" t="str">
        <f t="shared" si="76"/>
        <v/>
      </c>
      <c r="N597" s="34" t="str">
        <f t="shared" si="77"/>
        <v/>
      </c>
      <c r="O597" s="34" t="str">
        <f t="shared" si="74"/>
        <v/>
      </c>
      <c r="P597" s="34" t="str">
        <f>IF(A597="","",IFERROR(VLOOKUP(A597,'表3（采购界面）'!A:J,10,0),"NA"))</f>
        <v/>
      </c>
      <c r="Q597" s="34" t="str">
        <f>IF(A597="","",IFERROR(VLOOKUP(A597,'表3（采购界面）'!A:Z,11,0),"NA"))</f>
        <v/>
      </c>
      <c r="R597" s="34" t="str">
        <f t="shared" si="78"/>
        <v/>
      </c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</row>
    <row r="598" spans="10:33" x14ac:dyDescent="0.2">
      <c r="J598" s="34"/>
      <c r="K598" s="34" t="str">
        <f t="shared" si="75"/>
        <v/>
      </c>
      <c r="L598" s="34" t="str">
        <f t="shared" si="73"/>
        <v/>
      </c>
      <c r="M598" s="34" t="str">
        <f t="shared" si="76"/>
        <v/>
      </c>
      <c r="N598" s="34" t="str">
        <f t="shared" si="77"/>
        <v/>
      </c>
      <c r="O598" s="34" t="str">
        <f t="shared" si="74"/>
        <v/>
      </c>
      <c r="P598" s="34" t="str">
        <f>IF(A598="","",IFERROR(VLOOKUP(A598,'表3（采购界面）'!A:J,10,0),"NA"))</f>
        <v/>
      </c>
      <c r="Q598" s="34" t="str">
        <f>IF(A598="","",IFERROR(VLOOKUP(A598,'表3（采购界面）'!A:Z,11,0),"NA"))</f>
        <v/>
      </c>
      <c r="R598" s="34" t="str">
        <f t="shared" si="78"/>
        <v/>
      </c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</row>
    <row r="599" spans="10:33" x14ac:dyDescent="0.2">
      <c r="J599" s="34"/>
      <c r="K599" s="34" t="str">
        <f t="shared" si="75"/>
        <v/>
      </c>
      <c r="L599" s="34" t="str">
        <f t="shared" si="73"/>
        <v/>
      </c>
      <c r="M599" s="34" t="str">
        <f t="shared" si="76"/>
        <v/>
      </c>
      <c r="N599" s="34" t="str">
        <f t="shared" si="77"/>
        <v/>
      </c>
      <c r="O599" s="34" t="str">
        <f t="shared" si="74"/>
        <v/>
      </c>
      <c r="P599" s="34" t="str">
        <f>IF(A599="","",IFERROR(VLOOKUP(A599,'表3（采购界面）'!A:J,10,0),"NA"))</f>
        <v/>
      </c>
      <c r="Q599" s="34" t="str">
        <f>IF(A599="","",IFERROR(VLOOKUP(A599,'表3（采购界面）'!A:Z,11,0),"NA"))</f>
        <v/>
      </c>
      <c r="R599" s="34" t="str">
        <f t="shared" si="78"/>
        <v/>
      </c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</row>
    <row r="600" spans="10:33" x14ac:dyDescent="0.2">
      <c r="J600" s="34"/>
      <c r="K600" s="34" t="str">
        <f t="shared" si="75"/>
        <v/>
      </c>
      <c r="L600" s="34" t="str">
        <f t="shared" si="73"/>
        <v/>
      </c>
      <c r="M600" s="34" t="str">
        <f t="shared" si="76"/>
        <v/>
      </c>
      <c r="N600" s="34" t="str">
        <f t="shared" si="77"/>
        <v/>
      </c>
      <c r="O600" s="34" t="str">
        <f t="shared" si="74"/>
        <v/>
      </c>
      <c r="P600" s="34" t="str">
        <f>IF(A600="","",IFERROR(VLOOKUP(A600,'表3（采购界面）'!A:J,10,0),"NA"))</f>
        <v/>
      </c>
      <c r="Q600" s="34" t="str">
        <f>IF(A600="","",IFERROR(VLOOKUP(A600,'表3（采购界面）'!A:Z,11,0),"NA"))</f>
        <v/>
      </c>
      <c r="R600" s="34" t="str">
        <f t="shared" si="78"/>
        <v/>
      </c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</row>
    <row r="601" spans="10:33" x14ac:dyDescent="0.2">
      <c r="J601" s="34"/>
      <c r="K601" s="34" t="str">
        <f t="shared" si="75"/>
        <v/>
      </c>
      <c r="L601" s="34" t="str">
        <f t="shared" si="73"/>
        <v/>
      </c>
      <c r="M601" s="34" t="str">
        <f t="shared" si="76"/>
        <v/>
      </c>
      <c r="N601" s="34" t="str">
        <f t="shared" si="77"/>
        <v/>
      </c>
      <c r="O601" s="34" t="str">
        <f t="shared" si="74"/>
        <v/>
      </c>
      <c r="P601" s="34" t="str">
        <f>IF(A601="","",IFERROR(VLOOKUP(A601,'表3（采购界面）'!A:J,10,0),"NA"))</f>
        <v/>
      </c>
      <c r="Q601" s="34" t="str">
        <f>IF(A601="","",IFERROR(VLOOKUP(A601,'表3（采购界面）'!A:Z,11,0),"NA"))</f>
        <v/>
      </c>
      <c r="R601" s="34" t="str">
        <f t="shared" si="78"/>
        <v/>
      </c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</row>
    <row r="602" spans="10:33" x14ac:dyDescent="0.2">
      <c r="J602" s="34"/>
      <c r="K602" s="34" t="str">
        <f t="shared" si="75"/>
        <v/>
      </c>
      <c r="L602" s="34" t="str">
        <f t="shared" si="73"/>
        <v/>
      </c>
      <c r="M602" s="34" t="str">
        <f t="shared" si="76"/>
        <v/>
      </c>
      <c r="N602" s="34" t="str">
        <f t="shared" si="77"/>
        <v/>
      </c>
      <c r="O602" s="34" t="str">
        <f t="shared" si="74"/>
        <v/>
      </c>
      <c r="P602" s="34" t="str">
        <f>IF(A602="","",IFERROR(VLOOKUP(A602,'表3（采购界面）'!A:J,10,0),"NA"))</f>
        <v/>
      </c>
      <c r="Q602" s="34" t="str">
        <f>IF(A602="","",IFERROR(VLOOKUP(A602,'表3（采购界面）'!A:Z,11,0),"NA"))</f>
        <v/>
      </c>
      <c r="R602" s="34" t="str">
        <f t="shared" si="78"/>
        <v/>
      </c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</row>
    <row r="603" spans="10:33" x14ac:dyDescent="0.2">
      <c r="J603" s="34"/>
      <c r="K603" s="34" t="str">
        <f t="shared" si="75"/>
        <v/>
      </c>
      <c r="L603" s="34" t="str">
        <f t="shared" si="73"/>
        <v/>
      </c>
      <c r="M603" s="34" t="str">
        <f t="shared" si="76"/>
        <v/>
      </c>
      <c r="N603" s="34" t="str">
        <f t="shared" si="77"/>
        <v/>
      </c>
      <c r="O603" s="34" t="str">
        <f t="shared" si="74"/>
        <v/>
      </c>
      <c r="P603" s="34" t="str">
        <f>IF(A603="","",IFERROR(VLOOKUP(A603,'表3（采购界面）'!A:J,10,0),"NA"))</f>
        <v/>
      </c>
      <c r="Q603" s="34" t="str">
        <f>IF(A603="","",IFERROR(VLOOKUP(A603,'表3（采购界面）'!A:Z,11,0),"NA"))</f>
        <v/>
      </c>
      <c r="R603" s="34" t="str">
        <f t="shared" si="78"/>
        <v/>
      </c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</row>
    <row r="604" spans="10:33" x14ac:dyDescent="0.2">
      <c r="J604" s="34"/>
      <c r="K604" s="34" t="str">
        <f t="shared" si="75"/>
        <v/>
      </c>
      <c r="L604" s="34" t="str">
        <f t="shared" si="73"/>
        <v/>
      </c>
      <c r="M604" s="34" t="str">
        <f t="shared" si="76"/>
        <v/>
      </c>
      <c r="N604" s="34" t="str">
        <f t="shared" si="77"/>
        <v/>
      </c>
      <c r="O604" s="34" t="str">
        <f t="shared" si="74"/>
        <v/>
      </c>
      <c r="P604" s="34" t="str">
        <f>IF(A604="","",IFERROR(VLOOKUP(A604,'表3（采购界面）'!A:J,10,0),"NA"))</f>
        <v/>
      </c>
      <c r="Q604" s="34" t="str">
        <f>IF(A604="","",IFERROR(VLOOKUP(A604,'表3（采购界面）'!A:Z,11,0),"NA"))</f>
        <v/>
      </c>
      <c r="R604" s="34" t="str">
        <f t="shared" si="78"/>
        <v/>
      </c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</row>
    <row r="605" spans="10:33" x14ac:dyDescent="0.2">
      <c r="J605" s="34"/>
      <c r="K605" s="34" t="str">
        <f t="shared" si="75"/>
        <v/>
      </c>
      <c r="L605" s="34" t="str">
        <f t="shared" si="73"/>
        <v/>
      </c>
      <c r="M605" s="34" t="str">
        <f t="shared" si="76"/>
        <v/>
      </c>
      <c r="N605" s="34" t="str">
        <f t="shared" si="77"/>
        <v/>
      </c>
      <c r="O605" s="34" t="str">
        <f t="shared" si="74"/>
        <v/>
      </c>
      <c r="P605" s="34" t="str">
        <f>IF(A605="","",IFERROR(VLOOKUP(A605,'表3（采购界面）'!A:J,10,0),"NA"))</f>
        <v/>
      </c>
      <c r="Q605" s="34" t="str">
        <f>IF(A605="","",IFERROR(VLOOKUP(A605,'表3（采购界面）'!A:Z,11,0),"NA"))</f>
        <v/>
      </c>
      <c r="R605" s="34" t="str">
        <f t="shared" si="78"/>
        <v/>
      </c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</row>
    <row r="606" spans="10:33" x14ac:dyDescent="0.2">
      <c r="J606" s="34"/>
      <c r="K606" s="34" t="str">
        <f t="shared" si="75"/>
        <v/>
      </c>
      <c r="L606" s="34" t="str">
        <f t="shared" si="73"/>
        <v/>
      </c>
      <c r="M606" s="34" t="str">
        <f t="shared" si="76"/>
        <v/>
      </c>
      <c r="N606" s="34" t="str">
        <f t="shared" si="77"/>
        <v/>
      </c>
      <c r="O606" s="34" t="str">
        <f t="shared" si="74"/>
        <v/>
      </c>
      <c r="P606" s="34" t="str">
        <f>IF(A606="","",IFERROR(VLOOKUP(A606,'表3（采购界面）'!A:J,10,0),"NA"))</f>
        <v/>
      </c>
      <c r="Q606" s="34" t="str">
        <f>IF(A606="","",IFERROR(VLOOKUP(A606,'表3（采购界面）'!A:Z,11,0),"NA"))</f>
        <v/>
      </c>
      <c r="R606" s="34" t="str">
        <f t="shared" si="78"/>
        <v/>
      </c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</row>
    <row r="607" spans="10:33" x14ac:dyDescent="0.2">
      <c r="J607" s="34"/>
      <c r="K607" s="34" t="str">
        <f t="shared" si="75"/>
        <v/>
      </c>
      <c r="L607" s="34" t="str">
        <f t="shared" si="73"/>
        <v/>
      </c>
      <c r="M607" s="34" t="str">
        <f t="shared" si="76"/>
        <v/>
      </c>
      <c r="N607" s="34" t="str">
        <f t="shared" si="77"/>
        <v/>
      </c>
      <c r="O607" s="34" t="str">
        <f t="shared" si="74"/>
        <v/>
      </c>
      <c r="P607" s="34" t="str">
        <f>IF(A607="","",IFERROR(VLOOKUP(A607,'表3（采购界面）'!A:J,10,0),"NA"))</f>
        <v/>
      </c>
      <c r="Q607" s="34" t="str">
        <f>IF(A607="","",IFERROR(VLOOKUP(A607,'表3（采购界面）'!A:Z,11,0),"NA"))</f>
        <v/>
      </c>
      <c r="R607" s="34" t="str">
        <f t="shared" si="78"/>
        <v/>
      </c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</row>
    <row r="608" spans="10:33" x14ac:dyDescent="0.2">
      <c r="J608" s="34"/>
      <c r="K608" s="34" t="str">
        <f t="shared" si="75"/>
        <v/>
      </c>
      <c r="L608" s="34" t="str">
        <f t="shared" si="73"/>
        <v/>
      </c>
      <c r="M608" s="34" t="str">
        <f t="shared" si="76"/>
        <v/>
      </c>
      <c r="N608" s="34" t="str">
        <f t="shared" si="77"/>
        <v/>
      </c>
      <c r="O608" s="34" t="str">
        <f t="shared" si="74"/>
        <v/>
      </c>
      <c r="P608" s="34" t="str">
        <f>IF(A608="","",IFERROR(VLOOKUP(A608,'表3（采购界面）'!A:J,10,0),"NA"))</f>
        <v/>
      </c>
      <c r="Q608" s="34" t="str">
        <f>IF(A608="","",IFERROR(VLOOKUP(A608,'表3（采购界面）'!A:Z,11,0),"NA"))</f>
        <v/>
      </c>
      <c r="R608" s="34" t="str">
        <f t="shared" si="78"/>
        <v/>
      </c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</row>
    <row r="609" spans="10:33" x14ac:dyDescent="0.2">
      <c r="J609" s="34"/>
      <c r="K609" s="34" t="str">
        <f t="shared" si="75"/>
        <v/>
      </c>
      <c r="L609" s="34" t="str">
        <f t="shared" si="73"/>
        <v/>
      </c>
      <c r="M609" s="34" t="str">
        <f t="shared" si="76"/>
        <v/>
      </c>
      <c r="N609" s="34" t="str">
        <f t="shared" si="77"/>
        <v/>
      </c>
      <c r="O609" s="34" t="str">
        <f t="shared" si="74"/>
        <v/>
      </c>
      <c r="P609" s="34" t="str">
        <f>IF(A609="","",IFERROR(VLOOKUP(A609,'表3（采购界面）'!A:J,10,0),"NA"))</f>
        <v/>
      </c>
      <c r="Q609" s="34" t="str">
        <f>IF(A609="","",IFERROR(VLOOKUP(A609,'表3（采购界面）'!A:Z,11,0),"NA"))</f>
        <v/>
      </c>
      <c r="R609" s="34" t="str">
        <f t="shared" si="78"/>
        <v/>
      </c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</row>
    <row r="610" spans="10:33" x14ac:dyDescent="0.2">
      <c r="J610" s="34"/>
      <c r="K610" s="34" t="str">
        <f t="shared" si="75"/>
        <v/>
      </c>
      <c r="L610" s="34" t="str">
        <f t="shared" si="73"/>
        <v/>
      </c>
      <c r="M610" s="34" t="str">
        <f t="shared" si="76"/>
        <v/>
      </c>
      <c r="N610" s="34" t="str">
        <f t="shared" si="77"/>
        <v/>
      </c>
      <c r="O610" s="34" t="str">
        <f t="shared" si="74"/>
        <v/>
      </c>
      <c r="P610" s="34" t="str">
        <f>IF(A610="","",IFERROR(VLOOKUP(A610,'表3（采购界面）'!A:J,10,0),"NA"))</f>
        <v/>
      </c>
      <c r="Q610" s="34" t="str">
        <f>IF(A610="","",IFERROR(VLOOKUP(A610,'表3（采购界面）'!A:Z,11,0),"NA"))</f>
        <v/>
      </c>
      <c r="R610" s="34" t="str">
        <f t="shared" si="78"/>
        <v/>
      </c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</row>
    <row r="611" spans="10:33" x14ac:dyDescent="0.2">
      <c r="J611" s="34"/>
      <c r="K611" s="34" t="str">
        <f t="shared" si="75"/>
        <v/>
      </c>
      <c r="L611" s="34" t="str">
        <f t="shared" si="73"/>
        <v/>
      </c>
      <c r="M611" s="34" t="str">
        <f t="shared" si="76"/>
        <v/>
      </c>
      <c r="N611" s="34" t="str">
        <f t="shared" si="77"/>
        <v/>
      </c>
      <c r="O611" s="34" t="str">
        <f t="shared" si="74"/>
        <v/>
      </c>
      <c r="P611" s="34" t="str">
        <f>IF(A611="","",IFERROR(VLOOKUP(A611,'表3（采购界面）'!A:J,10,0),"NA"))</f>
        <v/>
      </c>
      <c r="Q611" s="34" t="str">
        <f>IF(A611="","",IFERROR(VLOOKUP(A611,'表3（采购界面）'!A:Z,11,0),"NA"))</f>
        <v/>
      </c>
      <c r="R611" s="34" t="str">
        <f t="shared" si="78"/>
        <v/>
      </c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</row>
    <row r="612" spans="10:33" x14ac:dyDescent="0.2">
      <c r="J612" s="34"/>
      <c r="K612" s="34" t="str">
        <f t="shared" si="75"/>
        <v/>
      </c>
      <c r="L612" s="34" t="str">
        <f t="shared" si="73"/>
        <v/>
      </c>
      <c r="M612" s="34" t="str">
        <f t="shared" si="76"/>
        <v/>
      </c>
      <c r="N612" s="34" t="str">
        <f t="shared" si="77"/>
        <v/>
      </c>
      <c r="O612" s="34" t="str">
        <f t="shared" si="74"/>
        <v/>
      </c>
      <c r="P612" s="34" t="str">
        <f>IF(A612="","",IFERROR(VLOOKUP(A612,'表3（采购界面）'!A:J,10,0),"NA"))</f>
        <v/>
      </c>
      <c r="Q612" s="34" t="str">
        <f>IF(A612="","",IFERROR(VLOOKUP(A612,'表3（采购界面）'!A:Z,11,0),"NA"))</f>
        <v/>
      </c>
      <c r="R612" s="34" t="str">
        <f t="shared" si="78"/>
        <v/>
      </c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</row>
    <row r="613" spans="10:33" x14ac:dyDescent="0.2">
      <c r="J613" s="34"/>
      <c r="K613" s="34" t="str">
        <f t="shared" si="75"/>
        <v/>
      </c>
      <c r="L613" s="34" t="str">
        <f t="shared" si="73"/>
        <v/>
      </c>
      <c r="M613" s="34" t="str">
        <f t="shared" si="76"/>
        <v/>
      </c>
      <c r="N613" s="34" t="str">
        <f t="shared" si="77"/>
        <v/>
      </c>
      <c r="O613" s="34" t="str">
        <f t="shared" si="74"/>
        <v/>
      </c>
      <c r="P613" s="34" t="str">
        <f>IF(A613="","",IFERROR(VLOOKUP(A613,'表3（采购界面）'!A:J,10,0),"NA"))</f>
        <v/>
      </c>
      <c r="Q613" s="34" t="str">
        <f>IF(A613="","",IFERROR(VLOOKUP(A613,'表3（采购界面）'!A:Z,11,0),"NA"))</f>
        <v/>
      </c>
      <c r="R613" s="34" t="str">
        <f t="shared" si="78"/>
        <v/>
      </c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</row>
    <row r="614" spans="10:33" x14ac:dyDescent="0.2">
      <c r="J614" s="34"/>
      <c r="K614" s="34" t="str">
        <f t="shared" si="75"/>
        <v/>
      </c>
      <c r="L614" s="34" t="str">
        <f t="shared" si="73"/>
        <v/>
      </c>
      <c r="M614" s="34" t="str">
        <f t="shared" si="76"/>
        <v/>
      </c>
      <c r="N614" s="34" t="str">
        <f t="shared" si="77"/>
        <v/>
      </c>
      <c r="O614" s="34" t="str">
        <f t="shared" si="74"/>
        <v/>
      </c>
      <c r="P614" s="34" t="str">
        <f>IF(A614="","",IFERROR(VLOOKUP(A614,'表3（采购界面）'!A:J,10,0),"NA"))</f>
        <v/>
      </c>
      <c r="Q614" s="34" t="str">
        <f>IF(A614="","",IFERROR(VLOOKUP(A614,'表3（采购界面）'!A:Z,11,0),"NA"))</f>
        <v/>
      </c>
      <c r="R614" s="34" t="str">
        <f t="shared" si="78"/>
        <v/>
      </c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</row>
    <row r="615" spans="10:33" x14ac:dyDescent="0.2">
      <c r="J615" s="34"/>
      <c r="K615" s="34" t="str">
        <f t="shared" si="75"/>
        <v/>
      </c>
      <c r="L615" s="34" t="str">
        <f t="shared" si="73"/>
        <v/>
      </c>
      <c r="M615" s="34" t="str">
        <f t="shared" si="76"/>
        <v/>
      </c>
      <c r="N615" s="34" t="str">
        <f t="shared" si="77"/>
        <v/>
      </c>
      <c r="O615" s="34" t="str">
        <f t="shared" si="74"/>
        <v/>
      </c>
      <c r="P615" s="34" t="str">
        <f>IF(A615="","",IFERROR(VLOOKUP(A615,'表3（采购界面）'!A:J,10,0),"NA"))</f>
        <v/>
      </c>
      <c r="Q615" s="34" t="str">
        <f>IF(A615="","",IFERROR(VLOOKUP(A615,'表3（采购界面）'!A:Z,11,0),"NA"))</f>
        <v/>
      </c>
      <c r="R615" s="34" t="str">
        <f t="shared" si="78"/>
        <v/>
      </c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</row>
    <row r="616" spans="10:33" x14ac:dyDescent="0.2">
      <c r="J616" s="34"/>
      <c r="K616" s="34" t="str">
        <f t="shared" si="75"/>
        <v/>
      </c>
      <c r="L616" s="34" t="str">
        <f t="shared" si="73"/>
        <v/>
      </c>
      <c r="M616" s="34" t="str">
        <f t="shared" si="76"/>
        <v/>
      </c>
      <c r="N616" s="34" t="str">
        <f t="shared" si="77"/>
        <v/>
      </c>
      <c r="O616" s="34" t="str">
        <f t="shared" si="74"/>
        <v/>
      </c>
      <c r="P616" s="34" t="str">
        <f>IF(A616="","",IFERROR(VLOOKUP(A616,'表3（采购界面）'!A:J,10,0),"NA"))</f>
        <v/>
      </c>
      <c r="Q616" s="34" t="str">
        <f>IF(A616="","",IFERROR(VLOOKUP(A616,'表3（采购界面）'!A:Z,11,0),"NA"))</f>
        <v/>
      </c>
      <c r="R616" s="34" t="str">
        <f t="shared" si="78"/>
        <v/>
      </c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</row>
    <row r="617" spans="10:33" x14ac:dyDescent="0.2">
      <c r="J617" s="34"/>
      <c r="K617" s="34" t="str">
        <f t="shared" si="75"/>
        <v/>
      </c>
      <c r="L617" s="34" t="str">
        <f t="shared" si="73"/>
        <v/>
      </c>
      <c r="M617" s="34" t="str">
        <f t="shared" si="76"/>
        <v/>
      </c>
      <c r="N617" s="34" t="str">
        <f t="shared" si="77"/>
        <v/>
      </c>
      <c r="O617" s="34" t="str">
        <f t="shared" si="74"/>
        <v/>
      </c>
      <c r="P617" s="34" t="str">
        <f>IF(A617="","",IFERROR(VLOOKUP(A617,'表3（采购界面）'!A:J,10,0),"NA"))</f>
        <v/>
      </c>
      <c r="Q617" s="34" t="str">
        <f>IF(A617="","",IFERROR(VLOOKUP(A617,'表3（采购界面）'!A:Z,11,0),"NA"))</f>
        <v/>
      </c>
      <c r="R617" s="34" t="str">
        <f t="shared" si="78"/>
        <v/>
      </c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</row>
    <row r="618" spans="10:33" x14ac:dyDescent="0.2">
      <c r="J618" s="34"/>
      <c r="K618" s="34" t="str">
        <f t="shared" si="75"/>
        <v/>
      </c>
      <c r="L618" s="34" t="str">
        <f t="shared" si="73"/>
        <v/>
      </c>
      <c r="M618" s="34" t="str">
        <f t="shared" si="76"/>
        <v/>
      </c>
      <c r="N618" s="34" t="str">
        <f t="shared" si="77"/>
        <v/>
      </c>
      <c r="O618" s="34" t="str">
        <f t="shared" si="74"/>
        <v/>
      </c>
      <c r="P618" s="34" t="str">
        <f>IF(A618="","",IFERROR(VLOOKUP(A618,'表3（采购界面）'!A:J,10,0),"NA"))</f>
        <v/>
      </c>
      <c r="Q618" s="34" t="str">
        <f>IF(A618="","",IFERROR(VLOOKUP(A618,'表3（采购界面）'!A:Z,11,0),"NA"))</f>
        <v/>
      </c>
      <c r="R618" s="34" t="str">
        <f t="shared" si="78"/>
        <v/>
      </c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</row>
    <row r="619" spans="10:33" x14ac:dyDescent="0.2">
      <c r="J619" s="34"/>
      <c r="K619" s="34" t="str">
        <f t="shared" si="75"/>
        <v/>
      </c>
      <c r="L619" s="34" t="str">
        <f t="shared" si="73"/>
        <v/>
      </c>
      <c r="M619" s="34" t="str">
        <f t="shared" si="76"/>
        <v/>
      </c>
      <c r="N619" s="34" t="str">
        <f t="shared" si="77"/>
        <v/>
      </c>
      <c r="O619" s="34" t="str">
        <f t="shared" si="74"/>
        <v/>
      </c>
      <c r="P619" s="34" t="str">
        <f>IF(A619="","",IFERROR(VLOOKUP(A619,'表3（采购界面）'!A:J,10,0),"NA"))</f>
        <v/>
      </c>
      <c r="Q619" s="34" t="str">
        <f>IF(A619="","",IFERROR(VLOOKUP(A619,'表3（采购界面）'!A:Z,11,0),"NA"))</f>
        <v/>
      </c>
      <c r="R619" s="34" t="str">
        <f t="shared" si="78"/>
        <v/>
      </c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</row>
    <row r="620" spans="10:33" x14ac:dyDescent="0.2">
      <c r="J620" s="34"/>
      <c r="K620" s="34" t="str">
        <f t="shared" si="75"/>
        <v/>
      </c>
      <c r="L620" s="34" t="str">
        <f t="shared" si="73"/>
        <v/>
      </c>
      <c r="M620" s="34" t="str">
        <f t="shared" si="76"/>
        <v/>
      </c>
      <c r="N620" s="34" t="str">
        <f t="shared" si="77"/>
        <v/>
      </c>
      <c r="O620" s="34" t="str">
        <f t="shared" si="74"/>
        <v/>
      </c>
      <c r="P620" s="34" t="str">
        <f>IF(A620="","",IFERROR(VLOOKUP(A620,'表3（采购界面）'!A:J,10,0),"NA"))</f>
        <v/>
      </c>
      <c r="Q620" s="34" t="str">
        <f>IF(A620="","",IFERROR(VLOOKUP(A620,'表3（采购界面）'!A:Z,11,0),"NA"))</f>
        <v/>
      </c>
      <c r="R620" s="34" t="str">
        <f t="shared" si="78"/>
        <v/>
      </c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</row>
    <row r="621" spans="10:33" x14ac:dyDescent="0.2">
      <c r="J621" s="34"/>
      <c r="K621" s="34" t="str">
        <f t="shared" si="75"/>
        <v/>
      </c>
      <c r="L621" s="34" t="str">
        <f t="shared" si="73"/>
        <v/>
      </c>
      <c r="M621" s="34" t="str">
        <f t="shared" si="76"/>
        <v/>
      </c>
      <c r="N621" s="34" t="str">
        <f t="shared" si="77"/>
        <v/>
      </c>
      <c r="O621" s="34" t="str">
        <f t="shared" si="74"/>
        <v/>
      </c>
      <c r="P621" s="34" t="str">
        <f>IF(A621="","",IFERROR(VLOOKUP(A621,'表3（采购界面）'!A:J,10,0),"NA"))</f>
        <v/>
      </c>
      <c r="Q621" s="34" t="str">
        <f>IF(A621="","",IFERROR(VLOOKUP(A621,'表3（采购界面）'!A:Z,11,0),"NA"))</f>
        <v/>
      </c>
      <c r="R621" s="34" t="str">
        <f t="shared" si="78"/>
        <v/>
      </c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</row>
    <row r="622" spans="10:33" x14ac:dyDescent="0.2">
      <c r="J622" s="34"/>
      <c r="K622" s="34" t="str">
        <f t="shared" si="75"/>
        <v/>
      </c>
      <c r="L622" s="34" t="str">
        <f t="shared" si="73"/>
        <v/>
      </c>
      <c r="M622" s="34" t="str">
        <f t="shared" si="76"/>
        <v/>
      </c>
      <c r="N622" s="34" t="str">
        <f t="shared" si="77"/>
        <v/>
      </c>
      <c r="O622" s="34" t="str">
        <f t="shared" si="74"/>
        <v/>
      </c>
      <c r="P622" s="34" t="str">
        <f>IF(A622="","",IFERROR(VLOOKUP(A622,'表3（采购界面）'!A:J,10,0),"NA"))</f>
        <v/>
      </c>
      <c r="Q622" s="34" t="str">
        <f>IF(A622="","",IFERROR(VLOOKUP(A622,'表3（采购界面）'!A:Z,11,0),"NA"))</f>
        <v/>
      </c>
      <c r="R622" s="34" t="str">
        <f t="shared" si="78"/>
        <v/>
      </c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</row>
    <row r="623" spans="10:33" x14ac:dyDescent="0.2">
      <c r="J623" s="34"/>
      <c r="K623" s="34" t="str">
        <f t="shared" si="75"/>
        <v/>
      </c>
      <c r="L623" s="34" t="str">
        <f t="shared" si="73"/>
        <v/>
      </c>
      <c r="M623" s="34" t="str">
        <f t="shared" si="76"/>
        <v/>
      </c>
      <c r="N623" s="34" t="str">
        <f t="shared" si="77"/>
        <v/>
      </c>
      <c r="O623" s="34" t="str">
        <f t="shared" si="74"/>
        <v/>
      </c>
      <c r="P623" s="34" t="str">
        <f>IF(A623="","",IFERROR(VLOOKUP(A623,'表3（采购界面）'!A:J,10,0),"NA"))</f>
        <v/>
      </c>
      <c r="Q623" s="34" t="str">
        <f>IF(A623="","",IFERROR(VLOOKUP(A623,'表3（采购界面）'!A:Z,11,0),"NA"))</f>
        <v/>
      </c>
      <c r="R623" s="34" t="str">
        <f t="shared" si="78"/>
        <v/>
      </c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</row>
    <row r="624" spans="10:33" x14ac:dyDescent="0.2">
      <c r="J624" s="34"/>
      <c r="K624" s="34" t="str">
        <f t="shared" si="75"/>
        <v/>
      </c>
      <c r="L624" s="34" t="str">
        <f t="shared" si="73"/>
        <v/>
      </c>
      <c r="M624" s="34" t="str">
        <f t="shared" si="76"/>
        <v/>
      </c>
      <c r="N624" s="34" t="str">
        <f t="shared" si="77"/>
        <v/>
      </c>
      <c r="O624" s="34" t="str">
        <f t="shared" si="74"/>
        <v/>
      </c>
      <c r="P624" s="34" t="str">
        <f>IF(A624="","",IFERROR(VLOOKUP(A624,'表3（采购界面）'!A:J,10,0),"NA"))</f>
        <v/>
      </c>
      <c r="Q624" s="34" t="str">
        <f>IF(A624="","",IFERROR(VLOOKUP(A624,'表3（采购界面）'!A:Z,11,0),"NA"))</f>
        <v/>
      </c>
      <c r="R624" s="34" t="str">
        <f t="shared" si="78"/>
        <v/>
      </c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</row>
    <row r="625" spans="10:33" x14ac:dyDescent="0.2">
      <c r="J625" s="34"/>
      <c r="K625" s="34" t="str">
        <f t="shared" si="75"/>
        <v/>
      </c>
      <c r="L625" s="34" t="str">
        <f t="shared" si="73"/>
        <v/>
      </c>
      <c r="M625" s="34" t="str">
        <f t="shared" si="76"/>
        <v/>
      </c>
      <c r="N625" s="34" t="str">
        <f t="shared" si="77"/>
        <v/>
      </c>
      <c r="O625" s="34" t="str">
        <f t="shared" si="74"/>
        <v/>
      </c>
      <c r="P625" s="34" t="str">
        <f>IF(A625="","",IFERROR(VLOOKUP(A625,'表3（采购界面）'!A:J,10,0),"NA"))</f>
        <v/>
      </c>
      <c r="Q625" s="34" t="str">
        <f>IF(A625="","",IFERROR(VLOOKUP(A625,'表3（采购界面）'!A:Z,11,0),"NA"))</f>
        <v/>
      </c>
      <c r="R625" s="34" t="str">
        <f t="shared" si="78"/>
        <v/>
      </c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</row>
    <row r="626" spans="10:33" x14ac:dyDescent="0.2">
      <c r="J626" s="34"/>
      <c r="K626" s="34" t="str">
        <f t="shared" si="75"/>
        <v/>
      </c>
      <c r="L626" s="34" t="str">
        <f t="shared" si="73"/>
        <v/>
      </c>
      <c r="M626" s="34" t="str">
        <f t="shared" si="76"/>
        <v/>
      </c>
      <c r="N626" s="34" t="str">
        <f t="shared" si="77"/>
        <v/>
      </c>
      <c r="O626" s="34" t="str">
        <f t="shared" si="74"/>
        <v/>
      </c>
      <c r="P626" s="34" t="str">
        <f>IF(A626="","",IFERROR(VLOOKUP(A626,'表3（采购界面）'!A:J,10,0),"NA"))</f>
        <v/>
      </c>
      <c r="Q626" s="34" t="str">
        <f>IF(A626="","",IFERROR(VLOOKUP(A626,'表3（采购界面）'!A:Z,11,0),"NA"))</f>
        <v/>
      </c>
      <c r="R626" s="34" t="str">
        <f t="shared" si="78"/>
        <v/>
      </c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</row>
    <row r="627" spans="10:33" x14ac:dyDescent="0.2">
      <c r="J627" s="34"/>
      <c r="K627" s="34" t="str">
        <f t="shared" si="75"/>
        <v/>
      </c>
      <c r="L627" s="34" t="str">
        <f t="shared" si="73"/>
        <v/>
      </c>
      <c r="M627" s="34" t="str">
        <f t="shared" si="76"/>
        <v/>
      </c>
      <c r="N627" s="34" t="str">
        <f t="shared" si="77"/>
        <v/>
      </c>
      <c r="O627" s="34" t="str">
        <f t="shared" si="74"/>
        <v/>
      </c>
      <c r="P627" s="34" t="str">
        <f>IF(A627="","",IFERROR(VLOOKUP(A627,'表3（采购界面）'!A:J,10,0),"NA"))</f>
        <v/>
      </c>
      <c r="Q627" s="34" t="str">
        <f>IF(A627="","",IFERROR(VLOOKUP(A627,'表3（采购界面）'!A:Z,11,0),"NA"))</f>
        <v/>
      </c>
      <c r="R627" s="34" t="str">
        <f t="shared" si="78"/>
        <v/>
      </c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</row>
    <row r="628" spans="10:33" x14ac:dyDescent="0.2">
      <c r="J628" s="34"/>
      <c r="K628" s="34" t="str">
        <f t="shared" si="75"/>
        <v/>
      </c>
      <c r="L628" s="34" t="str">
        <f t="shared" si="73"/>
        <v/>
      </c>
      <c r="M628" s="34" t="str">
        <f t="shared" si="76"/>
        <v/>
      </c>
      <c r="N628" s="34" t="str">
        <f t="shared" si="77"/>
        <v/>
      </c>
      <c r="O628" s="34" t="str">
        <f t="shared" si="74"/>
        <v/>
      </c>
      <c r="P628" s="34" t="str">
        <f>IF(A628="","",IFERROR(VLOOKUP(A628,'表3（采购界面）'!A:J,10,0),"NA"))</f>
        <v/>
      </c>
      <c r="Q628" s="34" t="str">
        <f>IF(A628="","",IFERROR(VLOOKUP(A628,'表3（采购界面）'!A:Z,11,0),"NA"))</f>
        <v/>
      </c>
      <c r="R628" s="34" t="str">
        <f t="shared" si="78"/>
        <v/>
      </c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</row>
    <row r="629" spans="10:33" x14ac:dyDescent="0.2">
      <c r="J629" s="34"/>
      <c r="K629" s="34" t="str">
        <f t="shared" si="75"/>
        <v/>
      </c>
      <c r="L629" s="34" t="str">
        <f t="shared" si="73"/>
        <v/>
      </c>
      <c r="M629" s="34" t="str">
        <f t="shared" si="76"/>
        <v/>
      </c>
      <c r="N629" s="34" t="str">
        <f t="shared" si="77"/>
        <v/>
      </c>
      <c r="O629" s="34" t="str">
        <f t="shared" si="74"/>
        <v/>
      </c>
      <c r="P629" s="34" t="str">
        <f>IF(A629="","",IFERROR(VLOOKUP(A629,'表3（采购界面）'!A:J,10,0),"NA"))</f>
        <v/>
      </c>
      <c r="Q629" s="34" t="str">
        <f>IF(A629="","",IFERROR(VLOOKUP(A629,'表3（采购界面）'!A:Z,11,0),"NA"))</f>
        <v/>
      </c>
      <c r="R629" s="34" t="str">
        <f t="shared" si="78"/>
        <v/>
      </c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</row>
    <row r="630" spans="10:33" x14ac:dyDescent="0.2">
      <c r="J630" s="34"/>
      <c r="K630" s="34" t="str">
        <f t="shared" si="75"/>
        <v/>
      </c>
      <c r="L630" s="34" t="str">
        <f t="shared" si="73"/>
        <v/>
      </c>
      <c r="M630" s="34" t="str">
        <f t="shared" si="76"/>
        <v/>
      </c>
      <c r="N630" s="34" t="str">
        <f t="shared" si="77"/>
        <v/>
      </c>
      <c r="O630" s="34" t="str">
        <f t="shared" si="74"/>
        <v/>
      </c>
      <c r="P630" s="34" t="str">
        <f>IF(A630="","",IFERROR(VLOOKUP(A630,'表3（采购界面）'!A:J,10,0),"NA"))</f>
        <v/>
      </c>
      <c r="Q630" s="34" t="str">
        <f>IF(A630="","",IFERROR(VLOOKUP(A630,'表3（采购界面）'!A:Z,11,0),"NA"))</f>
        <v/>
      </c>
      <c r="R630" s="34" t="str">
        <f t="shared" si="78"/>
        <v/>
      </c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</row>
    <row r="631" spans="10:33" x14ac:dyDescent="0.2">
      <c r="J631" s="34"/>
      <c r="K631" s="34" t="str">
        <f t="shared" si="75"/>
        <v/>
      </c>
      <c r="L631" s="34" t="str">
        <f t="shared" si="73"/>
        <v/>
      </c>
      <c r="M631" s="34" t="str">
        <f t="shared" si="76"/>
        <v/>
      </c>
      <c r="N631" s="34" t="str">
        <f t="shared" si="77"/>
        <v/>
      </c>
      <c r="O631" s="34" t="str">
        <f t="shared" si="74"/>
        <v/>
      </c>
      <c r="P631" s="34" t="str">
        <f>IF(A631="","",IFERROR(VLOOKUP(A631,'表3（采购界面）'!A:J,10,0),"NA"))</f>
        <v/>
      </c>
      <c r="Q631" s="34" t="str">
        <f>IF(A631="","",IFERROR(VLOOKUP(A631,'表3（采购界面）'!A:Z,11,0),"NA"))</f>
        <v/>
      </c>
      <c r="R631" s="34" t="str">
        <f t="shared" si="78"/>
        <v/>
      </c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</row>
    <row r="632" spans="10:33" x14ac:dyDescent="0.2">
      <c r="J632" s="34"/>
      <c r="K632" s="34" t="str">
        <f t="shared" si="75"/>
        <v/>
      </c>
      <c r="L632" s="34" t="str">
        <f t="shared" si="73"/>
        <v/>
      </c>
      <c r="M632" s="34" t="str">
        <f t="shared" si="76"/>
        <v/>
      </c>
      <c r="N632" s="34" t="str">
        <f t="shared" si="77"/>
        <v/>
      </c>
      <c r="O632" s="34" t="str">
        <f t="shared" si="74"/>
        <v/>
      </c>
      <c r="P632" s="34" t="str">
        <f>IF(A632="","",IFERROR(VLOOKUP(A632,'表3（采购界面）'!A:J,10,0),"NA"))</f>
        <v/>
      </c>
      <c r="Q632" s="34" t="str">
        <f>IF(A632="","",IFERROR(VLOOKUP(A632,'表3（采购界面）'!A:Z,11,0),"NA"))</f>
        <v/>
      </c>
      <c r="R632" s="34" t="str">
        <f t="shared" si="78"/>
        <v/>
      </c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</row>
    <row r="633" spans="10:33" x14ac:dyDescent="0.2">
      <c r="J633" s="34"/>
      <c r="K633" s="34" t="str">
        <f t="shared" si="75"/>
        <v/>
      </c>
      <c r="L633" s="34" t="str">
        <f t="shared" si="73"/>
        <v/>
      </c>
      <c r="M633" s="34" t="str">
        <f t="shared" si="76"/>
        <v/>
      </c>
      <c r="N633" s="34" t="str">
        <f t="shared" si="77"/>
        <v/>
      </c>
      <c r="O633" s="34" t="str">
        <f t="shared" si="74"/>
        <v/>
      </c>
      <c r="P633" s="34" t="str">
        <f>IF(A633="","",IFERROR(VLOOKUP(A633,'表3（采购界面）'!A:J,10,0),"NA"))</f>
        <v/>
      </c>
      <c r="Q633" s="34" t="str">
        <f>IF(A633="","",IFERROR(VLOOKUP(A633,'表3（采购界面）'!A:Z,11,0),"NA"))</f>
        <v/>
      </c>
      <c r="R633" s="34" t="str">
        <f t="shared" si="78"/>
        <v/>
      </c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</row>
    <row r="634" spans="10:33" x14ac:dyDescent="0.2">
      <c r="J634" s="34"/>
      <c r="K634" s="34" t="str">
        <f t="shared" si="75"/>
        <v/>
      </c>
      <c r="L634" s="34" t="str">
        <f t="shared" si="73"/>
        <v/>
      </c>
      <c r="M634" s="34" t="str">
        <f t="shared" si="76"/>
        <v/>
      </c>
      <c r="N634" s="34" t="str">
        <f t="shared" si="77"/>
        <v/>
      </c>
      <c r="O634" s="34" t="str">
        <f t="shared" si="74"/>
        <v/>
      </c>
      <c r="P634" s="34" t="str">
        <f>IF(A634="","",IFERROR(VLOOKUP(A634,'表3（采购界面）'!A:J,10,0),"NA"))</f>
        <v/>
      </c>
      <c r="Q634" s="34" t="str">
        <f>IF(A634="","",IFERROR(VLOOKUP(A634,'表3（采购界面）'!A:Z,11,0),"NA"))</f>
        <v/>
      </c>
      <c r="R634" s="34" t="str">
        <f t="shared" si="78"/>
        <v/>
      </c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</row>
    <row r="635" spans="10:33" x14ac:dyDescent="0.2">
      <c r="J635" s="34"/>
      <c r="K635" s="34" t="str">
        <f t="shared" si="75"/>
        <v/>
      </c>
      <c r="L635" s="34" t="str">
        <f t="shared" si="73"/>
        <v/>
      </c>
      <c r="M635" s="34" t="str">
        <f t="shared" si="76"/>
        <v/>
      </c>
      <c r="N635" s="34" t="str">
        <f t="shared" si="77"/>
        <v/>
      </c>
      <c r="O635" s="34" t="str">
        <f t="shared" si="74"/>
        <v/>
      </c>
      <c r="P635" s="34" t="str">
        <f>IF(A635="","",IFERROR(VLOOKUP(A635,'表3（采购界面）'!A:J,10,0),"NA"))</f>
        <v/>
      </c>
      <c r="Q635" s="34" t="str">
        <f>IF(A635="","",IFERROR(VLOOKUP(A635,'表3（采购界面）'!A:Z,11,0),"NA"))</f>
        <v/>
      </c>
      <c r="R635" s="34" t="str">
        <f t="shared" si="78"/>
        <v/>
      </c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</row>
    <row r="636" spans="10:33" x14ac:dyDescent="0.2">
      <c r="J636" s="34"/>
      <c r="K636" s="34" t="str">
        <f t="shared" si="75"/>
        <v/>
      </c>
      <c r="L636" s="34" t="str">
        <f t="shared" si="73"/>
        <v/>
      </c>
      <c r="M636" s="34" t="str">
        <f t="shared" si="76"/>
        <v/>
      </c>
      <c r="N636" s="34" t="str">
        <f t="shared" si="77"/>
        <v/>
      </c>
      <c r="O636" s="34" t="str">
        <f t="shared" si="74"/>
        <v/>
      </c>
      <c r="P636" s="34" t="str">
        <f>IF(A636="","",IFERROR(VLOOKUP(A636,'表3（采购界面）'!A:J,10,0),"NA"))</f>
        <v/>
      </c>
      <c r="Q636" s="34" t="str">
        <f>IF(A636="","",IFERROR(VLOOKUP(A636,'表3（采购界面）'!A:Z,11,0),"NA"))</f>
        <v/>
      </c>
      <c r="R636" s="34" t="str">
        <f t="shared" si="78"/>
        <v/>
      </c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</row>
    <row r="637" spans="10:33" x14ac:dyDescent="0.2">
      <c r="J637" s="34"/>
      <c r="K637" s="34" t="str">
        <f t="shared" si="75"/>
        <v/>
      </c>
      <c r="L637" s="34" t="str">
        <f t="shared" si="73"/>
        <v/>
      </c>
      <c r="M637" s="34" t="str">
        <f t="shared" si="76"/>
        <v/>
      </c>
      <c r="N637" s="34" t="str">
        <f t="shared" si="77"/>
        <v/>
      </c>
      <c r="O637" s="34" t="str">
        <f t="shared" si="74"/>
        <v/>
      </c>
      <c r="P637" s="34" t="str">
        <f>IF(A637="","",IFERROR(VLOOKUP(A637,'表3（采购界面）'!A:J,10,0),"NA"))</f>
        <v/>
      </c>
      <c r="Q637" s="34" t="str">
        <f>IF(A637="","",IFERROR(VLOOKUP(A637,'表3（采购界面）'!A:Z,11,0),"NA"))</f>
        <v/>
      </c>
      <c r="R637" s="34" t="str">
        <f t="shared" si="78"/>
        <v/>
      </c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</row>
    <row r="638" spans="10:33" x14ac:dyDescent="0.2">
      <c r="J638" s="34"/>
      <c r="K638" s="34" t="str">
        <f t="shared" si="75"/>
        <v/>
      </c>
      <c r="L638" s="34" t="str">
        <f t="shared" si="73"/>
        <v/>
      </c>
      <c r="M638" s="34" t="str">
        <f t="shared" si="76"/>
        <v/>
      </c>
      <c r="N638" s="34" t="str">
        <f t="shared" si="77"/>
        <v/>
      </c>
      <c r="O638" s="34" t="str">
        <f t="shared" si="74"/>
        <v/>
      </c>
      <c r="P638" s="34" t="str">
        <f>IF(A638="","",IFERROR(VLOOKUP(A638,'表3（采购界面）'!A:J,10,0),"NA"))</f>
        <v/>
      </c>
      <c r="Q638" s="34" t="str">
        <f>IF(A638="","",IFERROR(VLOOKUP(A638,'表3（采购界面）'!A:Z,11,0),"NA"))</f>
        <v/>
      </c>
      <c r="R638" s="34" t="str">
        <f t="shared" si="78"/>
        <v/>
      </c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</row>
    <row r="639" spans="10:33" x14ac:dyDescent="0.2">
      <c r="J639" s="34"/>
      <c r="K639" s="34" t="str">
        <f t="shared" si="75"/>
        <v/>
      </c>
      <c r="L639" s="34" t="str">
        <f t="shared" si="73"/>
        <v/>
      </c>
      <c r="M639" s="34" t="str">
        <f t="shared" si="76"/>
        <v/>
      </c>
      <c r="N639" s="34" t="str">
        <f t="shared" si="77"/>
        <v/>
      </c>
      <c r="O639" s="34" t="str">
        <f t="shared" si="74"/>
        <v/>
      </c>
      <c r="P639" s="34" t="str">
        <f>IF(A639="","",IFERROR(VLOOKUP(A639,'表3（采购界面）'!A:J,10,0),"NA"))</f>
        <v/>
      </c>
      <c r="Q639" s="34" t="str">
        <f>IF(A639="","",IFERROR(VLOOKUP(A639,'表3（采购界面）'!A:Z,11,0),"NA"))</f>
        <v/>
      </c>
      <c r="R639" s="34" t="str">
        <f t="shared" si="78"/>
        <v/>
      </c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</row>
    <row r="640" spans="10:33" x14ac:dyDescent="0.2">
      <c r="J640" s="34"/>
      <c r="K640" s="34" t="str">
        <f t="shared" si="75"/>
        <v/>
      </c>
      <c r="L640" s="34" t="str">
        <f t="shared" si="73"/>
        <v/>
      </c>
      <c r="M640" s="34" t="str">
        <f t="shared" si="76"/>
        <v/>
      </c>
      <c r="N640" s="34" t="str">
        <f t="shared" si="77"/>
        <v/>
      </c>
      <c r="O640" s="34" t="str">
        <f t="shared" si="74"/>
        <v/>
      </c>
      <c r="P640" s="34" t="str">
        <f>IF(A640="","",IFERROR(VLOOKUP(A640,'表3（采购界面）'!A:J,10,0),"NA"))</f>
        <v/>
      </c>
      <c r="Q640" s="34" t="str">
        <f>IF(A640="","",IFERROR(VLOOKUP(A640,'表3（采购界面）'!A:Z,11,0),"NA"))</f>
        <v/>
      </c>
      <c r="R640" s="34" t="str">
        <f t="shared" si="78"/>
        <v/>
      </c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</row>
    <row r="641" spans="10:33" x14ac:dyDescent="0.2">
      <c r="J641" s="34"/>
      <c r="K641" s="34" t="str">
        <f t="shared" si="75"/>
        <v/>
      </c>
      <c r="L641" s="34" t="str">
        <f t="shared" si="73"/>
        <v/>
      </c>
      <c r="M641" s="34" t="str">
        <f t="shared" si="76"/>
        <v/>
      </c>
      <c r="N641" s="34" t="str">
        <f t="shared" si="77"/>
        <v/>
      </c>
      <c r="O641" s="34" t="str">
        <f t="shared" si="74"/>
        <v/>
      </c>
      <c r="P641" s="34" t="str">
        <f>IF(A641="","",IFERROR(VLOOKUP(A641,'表3（采购界面）'!A:J,10,0),"NA"))</f>
        <v/>
      </c>
      <c r="Q641" s="34" t="str">
        <f>IF(A641="","",IFERROR(VLOOKUP(A641,'表3（采购界面）'!A:Z,11,0),"NA"))</f>
        <v/>
      </c>
      <c r="R641" s="34" t="str">
        <f t="shared" si="78"/>
        <v/>
      </c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</row>
    <row r="642" spans="10:33" x14ac:dyDescent="0.2">
      <c r="J642" s="34"/>
      <c r="K642" s="34" t="str">
        <f t="shared" si="75"/>
        <v/>
      </c>
      <c r="L642" s="34" t="str">
        <f t="shared" si="73"/>
        <v/>
      </c>
      <c r="M642" s="34" t="str">
        <f t="shared" si="76"/>
        <v/>
      </c>
      <c r="N642" s="34" t="str">
        <f t="shared" si="77"/>
        <v/>
      </c>
      <c r="O642" s="34" t="str">
        <f t="shared" si="74"/>
        <v/>
      </c>
      <c r="P642" s="34" t="str">
        <f>IF(A642="","",IFERROR(VLOOKUP(A642,'表3（采购界面）'!A:J,10,0),"NA"))</f>
        <v/>
      </c>
      <c r="Q642" s="34" t="str">
        <f>IF(A642="","",IFERROR(VLOOKUP(A642,'表3（采购界面）'!A:Z,11,0),"NA"))</f>
        <v/>
      </c>
      <c r="R642" s="34" t="str">
        <f t="shared" si="78"/>
        <v/>
      </c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</row>
    <row r="643" spans="10:33" x14ac:dyDescent="0.2">
      <c r="J643" s="34"/>
      <c r="K643" s="34" t="str">
        <f t="shared" si="75"/>
        <v/>
      </c>
      <c r="L643" s="34" t="str">
        <f t="shared" si="73"/>
        <v/>
      </c>
      <c r="M643" s="34" t="str">
        <f t="shared" si="76"/>
        <v/>
      </c>
      <c r="N643" s="34" t="str">
        <f t="shared" si="77"/>
        <v/>
      </c>
      <c r="O643" s="34" t="str">
        <f t="shared" si="74"/>
        <v/>
      </c>
      <c r="P643" s="34" t="str">
        <f>IF(A643="","",IFERROR(VLOOKUP(A643,'表3（采购界面）'!A:J,10,0),"NA"))</f>
        <v/>
      </c>
      <c r="Q643" s="34" t="str">
        <f>IF(A643="","",IFERROR(VLOOKUP(A643,'表3（采购界面）'!A:Z,11,0),"NA"))</f>
        <v/>
      </c>
      <c r="R643" s="34" t="str">
        <f t="shared" si="78"/>
        <v/>
      </c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</row>
    <row r="644" spans="10:33" x14ac:dyDescent="0.2">
      <c r="J644" s="34"/>
      <c r="K644" s="34" t="str">
        <f t="shared" si="75"/>
        <v/>
      </c>
      <c r="L644" s="34" t="str">
        <f t="shared" si="73"/>
        <v/>
      </c>
      <c r="M644" s="34" t="str">
        <f t="shared" si="76"/>
        <v/>
      </c>
      <c r="N644" s="34" t="str">
        <f t="shared" si="77"/>
        <v/>
      </c>
      <c r="O644" s="34" t="str">
        <f t="shared" si="74"/>
        <v/>
      </c>
      <c r="P644" s="34" t="str">
        <f>IF(A644="","",IFERROR(VLOOKUP(A644,'表3（采购界面）'!A:J,10,0),"NA"))</f>
        <v/>
      </c>
      <c r="Q644" s="34" t="str">
        <f>IF(A644="","",IFERROR(VLOOKUP(A644,'表3（采购界面）'!A:Z,11,0),"NA"))</f>
        <v/>
      </c>
      <c r="R644" s="34" t="str">
        <f t="shared" si="78"/>
        <v/>
      </c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</row>
    <row r="645" spans="10:33" x14ac:dyDescent="0.2">
      <c r="J645" s="34"/>
      <c r="K645" s="34" t="str">
        <f t="shared" si="75"/>
        <v/>
      </c>
      <c r="L645" s="34" t="str">
        <f t="shared" ref="L645:L708" si="79">_xlfn.IFS(LEFT(A645)="1","MB",LEFT(A645)="2","WB",LEFT(A645)="3","WB",AND(LEFT(A645)="4",D645&lt;&gt;"中国",J645&lt;&gt;"Y01"),"FX",A645&lt;&gt;"","EX",A645="","")</f>
        <v/>
      </c>
      <c r="M645" s="34" t="str">
        <f t="shared" si="76"/>
        <v/>
      </c>
      <c r="N645" s="34" t="str">
        <f t="shared" si="77"/>
        <v/>
      </c>
      <c r="O645" s="34" t="str">
        <f t="shared" ref="O645:O708" si="80">IF(OR(LEFT(A645,1)="4",LEFT(A645,1)="5"),"NA","")</f>
        <v/>
      </c>
      <c r="P645" s="34" t="str">
        <f>IF(A645="","",IFERROR(VLOOKUP(A645,'表3（采购界面）'!A:J,10,0),"NA"))</f>
        <v/>
      </c>
      <c r="Q645" s="34" t="str">
        <f>IF(A645="","",IFERROR(VLOOKUP(A645,'表3（采购界面）'!A:Z,11,0),"NA"))</f>
        <v/>
      </c>
      <c r="R645" s="34" t="str">
        <f t="shared" si="78"/>
        <v/>
      </c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</row>
    <row r="646" spans="10:33" x14ac:dyDescent="0.2">
      <c r="J646" s="34"/>
      <c r="K646" s="34" t="str">
        <f t="shared" ref="K646:K709" si="81">_xlfn.IFS(AND(LEFT(A646,1)="4",D646="中国"),"ND",AND(LEFT(A646,1)="5",D646="中国"),"ND",AND(LEFT(A646,1)="5",D646&lt;&gt;"中国"),"M2",A646="","",A646&lt;&gt;"","PD")</f>
        <v/>
      </c>
      <c r="L646" s="34" t="str">
        <f t="shared" si="79"/>
        <v/>
      </c>
      <c r="M646" s="34" t="str">
        <f t="shared" ref="M646:M709" si="82">IF(OR(L646="FX",L646=""),"","NA")</f>
        <v/>
      </c>
      <c r="N646" s="34" t="str">
        <f t="shared" ref="N646:N709" si="83">IF(A646="","","NA")</f>
        <v/>
      </c>
      <c r="O646" s="34" t="str">
        <f t="shared" si="80"/>
        <v/>
      </c>
      <c r="P646" s="34" t="str">
        <f>IF(A646="","",IFERROR(VLOOKUP(A646,'表3（采购界面）'!A:J,10,0),"NA"))</f>
        <v/>
      </c>
      <c r="Q646" s="34" t="str">
        <f>IF(A646="","",IFERROR(VLOOKUP(A646,'表3（采购界面）'!A:Z,11,0),"NA"))</f>
        <v/>
      </c>
      <c r="R646" s="34" t="str">
        <f t="shared" ref="R646:R709" si="84">IF(A646="","",IF(OR(LEFT(A646,1)="1",LEFT(A646,1)="2",LEFT(A646,1)="3"),"F","E"))</f>
        <v/>
      </c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</row>
    <row r="647" spans="10:33" x14ac:dyDescent="0.2">
      <c r="J647" s="34"/>
      <c r="K647" s="34" t="str">
        <f t="shared" si="81"/>
        <v/>
      </c>
      <c r="L647" s="34" t="str">
        <f t="shared" si="79"/>
        <v/>
      </c>
      <c r="M647" s="34" t="str">
        <f t="shared" si="82"/>
        <v/>
      </c>
      <c r="N647" s="34" t="str">
        <f t="shared" si="83"/>
        <v/>
      </c>
      <c r="O647" s="34" t="str">
        <f t="shared" si="80"/>
        <v/>
      </c>
      <c r="P647" s="34" t="str">
        <f>IF(A647="","",IFERROR(VLOOKUP(A647,'表3（采购界面）'!A:J,10,0),"NA"))</f>
        <v/>
      </c>
      <c r="Q647" s="34" t="str">
        <f>IF(A647="","",IFERROR(VLOOKUP(A647,'表3（采购界面）'!A:Z,11,0),"NA"))</f>
        <v/>
      </c>
      <c r="R647" s="34" t="str">
        <f t="shared" si="84"/>
        <v/>
      </c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</row>
    <row r="648" spans="10:33" x14ac:dyDescent="0.2">
      <c r="J648" s="34"/>
      <c r="K648" s="34" t="str">
        <f t="shared" si="81"/>
        <v/>
      </c>
      <c r="L648" s="34" t="str">
        <f t="shared" si="79"/>
        <v/>
      </c>
      <c r="M648" s="34" t="str">
        <f t="shared" si="82"/>
        <v/>
      </c>
      <c r="N648" s="34" t="str">
        <f t="shared" si="83"/>
        <v/>
      </c>
      <c r="O648" s="34" t="str">
        <f t="shared" si="80"/>
        <v/>
      </c>
      <c r="P648" s="34" t="str">
        <f>IF(A648="","",IFERROR(VLOOKUP(A648,'表3（采购界面）'!A:J,10,0),"NA"))</f>
        <v/>
      </c>
      <c r="Q648" s="34" t="str">
        <f>IF(A648="","",IFERROR(VLOOKUP(A648,'表3（采购界面）'!A:Z,11,0),"NA"))</f>
        <v/>
      </c>
      <c r="R648" s="34" t="str">
        <f t="shared" si="84"/>
        <v/>
      </c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</row>
    <row r="649" spans="10:33" x14ac:dyDescent="0.2">
      <c r="J649" s="34"/>
      <c r="K649" s="34" t="str">
        <f t="shared" si="81"/>
        <v/>
      </c>
      <c r="L649" s="34" t="str">
        <f t="shared" si="79"/>
        <v/>
      </c>
      <c r="M649" s="34" t="str">
        <f t="shared" si="82"/>
        <v/>
      </c>
      <c r="N649" s="34" t="str">
        <f t="shared" si="83"/>
        <v/>
      </c>
      <c r="O649" s="34" t="str">
        <f t="shared" si="80"/>
        <v/>
      </c>
      <c r="P649" s="34" t="str">
        <f>IF(A649="","",IFERROR(VLOOKUP(A649,'表3（采购界面）'!A:J,10,0),"NA"))</f>
        <v/>
      </c>
      <c r="Q649" s="34" t="str">
        <f>IF(A649="","",IFERROR(VLOOKUP(A649,'表3（采购界面）'!A:Z,11,0),"NA"))</f>
        <v/>
      </c>
      <c r="R649" s="34" t="str">
        <f t="shared" si="84"/>
        <v/>
      </c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</row>
    <row r="650" spans="10:33" x14ac:dyDescent="0.2">
      <c r="J650" s="34"/>
      <c r="K650" s="34" t="str">
        <f t="shared" si="81"/>
        <v/>
      </c>
      <c r="L650" s="34" t="str">
        <f t="shared" si="79"/>
        <v/>
      </c>
      <c r="M650" s="34" t="str">
        <f t="shared" si="82"/>
        <v/>
      </c>
      <c r="N650" s="34" t="str">
        <f t="shared" si="83"/>
        <v/>
      </c>
      <c r="O650" s="34" t="str">
        <f t="shared" si="80"/>
        <v/>
      </c>
      <c r="P650" s="34" t="str">
        <f>IF(A650="","",IFERROR(VLOOKUP(A650,'表3（采购界面）'!A:J,10,0),"NA"))</f>
        <v/>
      </c>
      <c r="Q650" s="34" t="str">
        <f>IF(A650="","",IFERROR(VLOOKUP(A650,'表3（采购界面）'!A:Z,11,0),"NA"))</f>
        <v/>
      </c>
      <c r="R650" s="34" t="str">
        <f t="shared" si="84"/>
        <v/>
      </c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</row>
    <row r="651" spans="10:33" x14ac:dyDescent="0.2">
      <c r="J651" s="34"/>
      <c r="K651" s="34" t="str">
        <f t="shared" si="81"/>
        <v/>
      </c>
      <c r="L651" s="34" t="str">
        <f t="shared" si="79"/>
        <v/>
      </c>
      <c r="M651" s="34" t="str">
        <f t="shared" si="82"/>
        <v/>
      </c>
      <c r="N651" s="34" t="str">
        <f t="shared" si="83"/>
        <v/>
      </c>
      <c r="O651" s="34" t="str">
        <f t="shared" si="80"/>
        <v/>
      </c>
      <c r="P651" s="34" t="str">
        <f>IF(A651="","",IFERROR(VLOOKUP(A651,'表3（采购界面）'!A:J,10,0),"NA"))</f>
        <v/>
      </c>
      <c r="Q651" s="34" t="str">
        <f>IF(A651="","",IFERROR(VLOOKUP(A651,'表3（采购界面）'!A:Z,11,0),"NA"))</f>
        <v/>
      </c>
      <c r="R651" s="34" t="str">
        <f t="shared" si="84"/>
        <v/>
      </c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</row>
    <row r="652" spans="10:33" x14ac:dyDescent="0.2">
      <c r="J652" s="34"/>
      <c r="K652" s="34" t="str">
        <f t="shared" si="81"/>
        <v/>
      </c>
      <c r="L652" s="34" t="str">
        <f t="shared" si="79"/>
        <v/>
      </c>
      <c r="M652" s="34" t="str">
        <f t="shared" si="82"/>
        <v/>
      </c>
      <c r="N652" s="34" t="str">
        <f t="shared" si="83"/>
        <v/>
      </c>
      <c r="O652" s="34" t="str">
        <f t="shared" si="80"/>
        <v/>
      </c>
      <c r="P652" s="34" t="str">
        <f>IF(A652="","",IFERROR(VLOOKUP(A652,'表3（采购界面）'!A:J,10,0),"NA"))</f>
        <v/>
      </c>
      <c r="Q652" s="34" t="str">
        <f>IF(A652="","",IFERROR(VLOOKUP(A652,'表3（采购界面）'!A:Z,11,0),"NA"))</f>
        <v/>
      </c>
      <c r="R652" s="34" t="str">
        <f t="shared" si="84"/>
        <v/>
      </c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</row>
    <row r="653" spans="10:33" x14ac:dyDescent="0.2">
      <c r="J653" s="34"/>
      <c r="K653" s="34" t="str">
        <f t="shared" si="81"/>
        <v/>
      </c>
      <c r="L653" s="34" t="str">
        <f t="shared" si="79"/>
        <v/>
      </c>
      <c r="M653" s="34" t="str">
        <f t="shared" si="82"/>
        <v/>
      </c>
      <c r="N653" s="34" t="str">
        <f t="shared" si="83"/>
        <v/>
      </c>
      <c r="O653" s="34" t="str">
        <f t="shared" si="80"/>
        <v/>
      </c>
      <c r="P653" s="34" t="str">
        <f>IF(A653="","",IFERROR(VLOOKUP(A653,'表3（采购界面）'!A:J,10,0),"NA"))</f>
        <v/>
      </c>
      <c r="Q653" s="34" t="str">
        <f>IF(A653="","",IFERROR(VLOOKUP(A653,'表3（采购界面）'!A:Z,11,0),"NA"))</f>
        <v/>
      </c>
      <c r="R653" s="34" t="str">
        <f t="shared" si="84"/>
        <v/>
      </c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</row>
    <row r="654" spans="10:33" x14ac:dyDescent="0.2">
      <c r="J654" s="34"/>
      <c r="K654" s="34" t="str">
        <f t="shared" si="81"/>
        <v/>
      </c>
      <c r="L654" s="34" t="str">
        <f t="shared" si="79"/>
        <v/>
      </c>
      <c r="M654" s="34" t="str">
        <f t="shared" si="82"/>
        <v/>
      </c>
      <c r="N654" s="34" t="str">
        <f t="shared" si="83"/>
        <v/>
      </c>
      <c r="O654" s="34" t="str">
        <f t="shared" si="80"/>
        <v/>
      </c>
      <c r="P654" s="34" t="str">
        <f>IF(A654="","",IFERROR(VLOOKUP(A654,'表3（采购界面）'!A:J,10,0),"NA"))</f>
        <v/>
      </c>
      <c r="Q654" s="34" t="str">
        <f>IF(A654="","",IFERROR(VLOOKUP(A654,'表3（采购界面）'!A:Z,11,0),"NA"))</f>
        <v/>
      </c>
      <c r="R654" s="34" t="str">
        <f t="shared" si="84"/>
        <v/>
      </c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</row>
    <row r="655" spans="10:33" x14ac:dyDescent="0.2">
      <c r="J655" s="34"/>
      <c r="K655" s="34" t="str">
        <f t="shared" si="81"/>
        <v/>
      </c>
      <c r="L655" s="34" t="str">
        <f t="shared" si="79"/>
        <v/>
      </c>
      <c r="M655" s="34" t="str">
        <f t="shared" si="82"/>
        <v/>
      </c>
      <c r="N655" s="34" t="str">
        <f t="shared" si="83"/>
        <v/>
      </c>
      <c r="O655" s="34" t="str">
        <f t="shared" si="80"/>
        <v/>
      </c>
      <c r="P655" s="34" t="str">
        <f>IF(A655="","",IFERROR(VLOOKUP(A655,'表3（采购界面）'!A:J,10,0),"NA"))</f>
        <v/>
      </c>
      <c r="Q655" s="34" t="str">
        <f>IF(A655="","",IFERROR(VLOOKUP(A655,'表3（采购界面）'!A:Z,11,0),"NA"))</f>
        <v/>
      </c>
      <c r="R655" s="34" t="str">
        <f t="shared" si="84"/>
        <v/>
      </c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</row>
    <row r="656" spans="10:33" x14ac:dyDescent="0.2">
      <c r="J656" s="34"/>
      <c r="K656" s="34" t="str">
        <f t="shared" si="81"/>
        <v/>
      </c>
      <c r="L656" s="34" t="str">
        <f t="shared" si="79"/>
        <v/>
      </c>
      <c r="M656" s="34" t="str">
        <f t="shared" si="82"/>
        <v/>
      </c>
      <c r="N656" s="34" t="str">
        <f t="shared" si="83"/>
        <v/>
      </c>
      <c r="O656" s="34" t="str">
        <f t="shared" si="80"/>
        <v/>
      </c>
      <c r="P656" s="34" t="str">
        <f>IF(A656="","",IFERROR(VLOOKUP(A656,'表3（采购界面）'!A:J,10,0),"NA"))</f>
        <v/>
      </c>
      <c r="Q656" s="34" t="str">
        <f>IF(A656="","",IFERROR(VLOOKUP(A656,'表3（采购界面）'!A:Z,11,0),"NA"))</f>
        <v/>
      </c>
      <c r="R656" s="34" t="str">
        <f t="shared" si="84"/>
        <v/>
      </c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</row>
    <row r="657" spans="10:33" x14ac:dyDescent="0.2">
      <c r="J657" s="34"/>
      <c r="K657" s="34" t="str">
        <f t="shared" si="81"/>
        <v/>
      </c>
      <c r="L657" s="34" t="str">
        <f t="shared" si="79"/>
        <v/>
      </c>
      <c r="M657" s="34" t="str">
        <f t="shared" si="82"/>
        <v/>
      </c>
      <c r="N657" s="34" t="str">
        <f t="shared" si="83"/>
        <v/>
      </c>
      <c r="O657" s="34" t="str">
        <f t="shared" si="80"/>
        <v/>
      </c>
      <c r="P657" s="34" t="str">
        <f>IF(A657="","",IFERROR(VLOOKUP(A657,'表3（采购界面）'!A:J,10,0),"NA"))</f>
        <v/>
      </c>
      <c r="Q657" s="34" t="str">
        <f>IF(A657="","",IFERROR(VLOOKUP(A657,'表3（采购界面）'!A:Z,11,0),"NA"))</f>
        <v/>
      </c>
      <c r="R657" s="34" t="str">
        <f t="shared" si="84"/>
        <v/>
      </c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</row>
    <row r="658" spans="10:33" x14ac:dyDescent="0.2">
      <c r="J658" s="34"/>
      <c r="K658" s="34" t="str">
        <f t="shared" si="81"/>
        <v/>
      </c>
      <c r="L658" s="34" t="str">
        <f t="shared" si="79"/>
        <v/>
      </c>
      <c r="M658" s="34" t="str">
        <f t="shared" si="82"/>
        <v/>
      </c>
      <c r="N658" s="34" t="str">
        <f t="shared" si="83"/>
        <v/>
      </c>
      <c r="O658" s="34" t="str">
        <f t="shared" si="80"/>
        <v/>
      </c>
      <c r="P658" s="34" t="str">
        <f>IF(A658="","",IFERROR(VLOOKUP(A658,'表3（采购界面）'!A:J,10,0),"NA"))</f>
        <v/>
      </c>
      <c r="Q658" s="34" t="str">
        <f>IF(A658="","",IFERROR(VLOOKUP(A658,'表3（采购界面）'!A:Z,11,0),"NA"))</f>
        <v/>
      </c>
      <c r="R658" s="34" t="str">
        <f t="shared" si="84"/>
        <v/>
      </c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</row>
    <row r="659" spans="10:33" x14ac:dyDescent="0.2">
      <c r="J659" s="34"/>
      <c r="K659" s="34" t="str">
        <f t="shared" si="81"/>
        <v/>
      </c>
      <c r="L659" s="34" t="str">
        <f t="shared" si="79"/>
        <v/>
      </c>
      <c r="M659" s="34" t="str">
        <f t="shared" si="82"/>
        <v/>
      </c>
      <c r="N659" s="34" t="str">
        <f t="shared" si="83"/>
        <v/>
      </c>
      <c r="O659" s="34" t="str">
        <f t="shared" si="80"/>
        <v/>
      </c>
      <c r="P659" s="34" t="str">
        <f>IF(A659="","",IFERROR(VLOOKUP(A659,'表3（采购界面）'!A:J,10,0),"NA"))</f>
        <v/>
      </c>
      <c r="Q659" s="34" t="str">
        <f>IF(A659="","",IFERROR(VLOOKUP(A659,'表3（采购界面）'!A:Z,11,0),"NA"))</f>
        <v/>
      </c>
      <c r="R659" s="34" t="str">
        <f t="shared" si="84"/>
        <v/>
      </c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</row>
    <row r="660" spans="10:33" x14ac:dyDescent="0.2">
      <c r="J660" s="34"/>
      <c r="K660" s="34" t="str">
        <f t="shared" si="81"/>
        <v/>
      </c>
      <c r="L660" s="34" t="str">
        <f t="shared" si="79"/>
        <v/>
      </c>
      <c r="M660" s="34" t="str">
        <f t="shared" si="82"/>
        <v/>
      </c>
      <c r="N660" s="34" t="str">
        <f t="shared" si="83"/>
        <v/>
      </c>
      <c r="O660" s="34" t="str">
        <f t="shared" si="80"/>
        <v/>
      </c>
      <c r="P660" s="34" t="str">
        <f>IF(A660="","",IFERROR(VLOOKUP(A660,'表3（采购界面）'!A:J,10,0),"NA"))</f>
        <v/>
      </c>
      <c r="Q660" s="34" t="str">
        <f>IF(A660="","",IFERROR(VLOOKUP(A660,'表3（采购界面）'!A:Z,11,0),"NA"))</f>
        <v/>
      </c>
      <c r="R660" s="34" t="str">
        <f t="shared" si="84"/>
        <v/>
      </c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</row>
    <row r="661" spans="10:33" x14ac:dyDescent="0.2">
      <c r="J661" s="34"/>
      <c r="K661" s="34" t="str">
        <f t="shared" si="81"/>
        <v/>
      </c>
      <c r="L661" s="34" t="str">
        <f t="shared" si="79"/>
        <v/>
      </c>
      <c r="M661" s="34" t="str">
        <f t="shared" si="82"/>
        <v/>
      </c>
      <c r="N661" s="34" t="str">
        <f t="shared" si="83"/>
        <v/>
      </c>
      <c r="O661" s="34" t="str">
        <f t="shared" si="80"/>
        <v/>
      </c>
      <c r="P661" s="34" t="str">
        <f>IF(A661="","",IFERROR(VLOOKUP(A661,'表3（采购界面）'!A:J,10,0),"NA"))</f>
        <v/>
      </c>
      <c r="Q661" s="34" t="str">
        <f>IF(A661="","",IFERROR(VLOOKUP(A661,'表3（采购界面）'!A:Z,11,0),"NA"))</f>
        <v/>
      </c>
      <c r="R661" s="34" t="str">
        <f t="shared" si="84"/>
        <v/>
      </c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</row>
    <row r="662" spans="10:33" x14ac:dyDescent="0.2">
      <c r="J662" s="34"/>
      <c r="K662" s="34" t="str">
        <f t="shared" si="81"/>
        <v/>
      </c>
      <c r="L662" s="34" t="str">
        <f t="shared" si="79"/>
        <v/>
      </c>
      <c r="M662" s="34" t="str">
        <f t="shared" si="82"/>
        <v/>
      </c>
      <c r="N662" s="34" t="str">
        <f t="shared" si="83"/>
        <v/>
      </c>
      <c r="O662" s="34" t="str">
        <f t="shared" si="80"/>
        <v/>
      </c>
      <c r="P662" s="34" t="str">
        <f>IF(A662="","",IFERROR(VLOOKUP(A662,'表3（采购界面）'!A:J,10,0),"NA"))</f>
        <v/>
      </c>
      <c r="Q662" s="34" t="str">
        <f>IF(A662="","",IFERROR(VLOOKUP(A662,'表3（采购界面）'!A:Z,11,0),"NA"))</f>
        <v/>
      </c>
      <c r="R662" s="34" t="str">
        <f t="shared" si="84"/>
        <v/>
      </c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</row>
    <row r="663" spans="10:33" x14ac:dyDescent="0.2">
      <c r="J663" s="34"/>
      <c r="K663" s="34" t="str">
        <f t="shared" si="81"/>
        <v/>
      </c>
      <c r="L663" s="34" t="str">
        <f t="shared" si="79"/>
        <v/>
      </c>
      <c r="M663" s="34" t="str">
        <f t="shared" si="82"/>
        <v/>
      </c>
      <c r="N663" s="34" t="str">
        <f t="shared" si="83"/>
        <v/>
      </c>
      <c r="O663" s="34" t="str">
        <f t="shared" si="80"/>
        <v/>
      </c>
      <c r="P663" s="34" t="str">
        <f>IF(A663="","",IFERROR(VLOOKUP(A663,'表3（采购界面）'!A:J,10,0),"NA"))</f>
        <v/>
      </c>
      <c r="Q663" s="34" t="str">
        <f>IF(A663="","",IFERROR(VLOOKUP(A663,'表3（采购界面）'!A:Z,11,0),"NA"))</f>
        <v/>
      </c>
      <c r="R663" s="34" t="str">
        <f t="shared" si="84"/>
        <v/>
      </c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</row>
    <row r="664" spans="10:33" x14ac:dyDescent="0.2">
      <c r="J664" s="34"/>
      <c r="K664" s="34" t="str">
        <f t="shared" si="81"/>
        <v/>
      </c>
      <c r="L664" s="34" t="str">
        <f t="shared" si="79"/>
        <v/>
      </c>
      <c r="M664" s="34" t="str">
        <f t="shared" si="82"/>
        <v/>
      </c>
      <c r="N664" s="34" t="str">
        <f t="shared" si="83"/>
        <v/>
      </c>
      <c r="O664" s="34" t="str">
        <f t="shared" si="80"/>
        <v/>
      </c>
      <c r="P664" s="34" t="str">
        <f>IF(A664="","",IFERROR(VLOOKUP(A664,'表3（采购界面）'!A:J,10,0),"NA"))</f>
        <v/>
      </c>
      <c r="Q664" s="34" t="str">
        <f>IF(A664="","",IFERROR(VLOOKUP(A664,'表3（采购界面）'!A:Z,11,0),"NA"))</f>
        <v/>
      </c>
      <c r="R664" s="34" t="str">
        <f t="shared" si="84"/>
        <v/>
      </c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</row>
    <row r="665" spans="10:33" x14ac:dyDescent="0.2">
      <c r="J665" s="34"/>
      <c r="K665" s="34" t="str">
        <f t="shared" si="81"/>
        <v/>
      </c>
      <c r="L665" s="34" t="str">
        <f t="shared" si="79"/>
        <v/>
      </c>
      <c r="M665" s="34" t="str">
        <f t="shared" si="82"/>
        <v/>
      </c>
      <c r="N665" s="34" t="str">
        <f t="shared" si="83"/>
        <v/>
      </c>
      <c r="O665" s="34" t="str">
        <f t="shared" si="80"/>
        <v/>
      </c>
      <c r="P665" s="34" t="str">
        <f>IF(A665="","",IFERROR(VLOOKUP(A665,'表3（采购界面）'!A:J,10,0),"NA"))</f>
        <v/>
      </c>
      <c r="Q665" s="34" t="str">
        <f>IF(A665="","",IFERROR(VLOOKUP(A665,'表3（采购界面）'!A:Z,11,0),"NA"))</f>
        <v/>
      </c>
      <c r="R665" s="34" t="str">
        <f t="shared" si="84"/>
        <v/>
      </c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</row>
    <row r="666" spans="10:33" x14ac:dyDescent="0.2">
      <c r="J666" s="34"/>
      <c r="K666" s="34" t="str">
        <f t="shared" si="81"/>
        <v/>
      </c>
      <c r="L666" s="34" t="str">
        <f t="shared" si="79"/>
        <v/>
      </c>
      <c r="M666" s="34" t="str">
        <f t="shared" si="82"/>
        <v/>
      </c>
      <c r="N666" s="34" t="str">
        <f t="shared" si="83"/>
        <v/>
      </c>
      <c r="O666" s="34" t="str">
        <f t="shared" si="80"/>
        <v/>
      </c>
      <c r="P666" s="34" t="str">
        <f>IF(A666="","",IFERROR(VLOOKUP(A666,'表3（采购界面）'!A:J,10,0),"NA"))</f>
        <v/>
      </c>
      <c r="Q666" s="34" t="str">
        <f>IF(A666="","",IFERROR(VLOOKUP(A666,'表3（采购界面）'!A:Z,11,0),"NA"))</f>
        <v/>
      </c>
      <c r="R666" s="34" t="str">
        <f t="shared" si="84"/>
        <v/>
      </c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</row>
    <row r="667" spans="10:33" x14ac:dyDescent="0.2">
      <c r="J667" s="34"/>
      <c r="K667" s="34" t="str">
        <f t="shared" si="81"/>
        <v/>
      </c>
      <c r="L667" s="34" t="str">
        <f t="shared" si="79"/>
        <v/>
      </c>
      <c r="M667" s="34" t="str">
        <f t="shared" si="82"/>
        <v/>
      </c>
      <c r="N667" s="34" t="str">
        <f t="shared" si="83"/>
        <v/>
      </c>
      <c r="O667" s="34" t="str">
        <f t="shared" si="80"/>
        <v/>
      </c>
      <c r="P667" s="34" t="str">
        <f>IF(A667="","",IFERROR(VLOOKUP(A667,'表3（采购界面）'!A:J,10,0),"NA"))</f>
        <v/>
      </c>
      <c r="Q667" s="34" t="str">
        <f>IF(A667="","",IFERROR(VLOOKUP(A667,'表3（采购界面）'!A:Z,11,0),"NA"))</f>
        <v/>
      </c>
      <c r="R667" s="34" t="str">
        <f t="shared" si="84"/>
        <v/>
      </c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</row>
    <row r="668" spans="10:33" x14ac:dyDescent="0.2">
      <c r="J668" s="34"/>
      <c r="K668" s="34" t="str">
        <f t="shared" si="81"/>
        <v/>
      </c>
      <c r="L668" s="34" t="str">
        <f t="shared" si="79"/>
        <v/>
      </c>
      <c r="M668" s="34" t="str">
        <f t="shared" si="82"/>
        <v/>
      </c>
      <c r="N668" s="34" t="str">
        <f t="shared" si="83"/>
        <v/>
      </c>
      <c r="O668" s="34" t="str">
        <f t="shared" si="80"/>
        <v/>
      </c>
      <c r="P668" s="34" t="str">
        <f>IF(A668="","",IFERROR(VLOOKUP(A668,'表3（采购界面）'!A:J,10,0),"NA"))</f>
        <v/>
      </c>
      <c r="Q668" s="34" t="str">
        <f>IF(A668="","",IFERROR(VLOOKUP(A668,'表3（采购界面）'!A:Z,11,0),"NA"))</f>
        <v/>
      </c>
      <c r="R668" s="34" t="str">
        <f t="shared" si="84"/>
        <v/>
      </c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</row>
    <row r="669" spans="10:33" x14ac:dyDescent="0.2">
      <c r="J669" s="34"/>
      <c r="K669" s="34" t="str">
        <f t="shared" si="81"/>
        <v/>
      </c>
      <c r="L669" s="34" t="str">
        <f t="shared" si="79"/>
        <v/>
      </c>
      <c r="M669" s="34" t="str">
        <f t="shared" si="82"/>
        <v/>
      </c>
      <c r="N669" s="34" t="str">
        <f t="shared" si="83"/>
        <v/>
      </c>
      <c r="O669" s="34" t="str">
        <f t="shared" si="80"/>
        <v/>
      </c>
      <c r="P669" s="34" t="str">
        <f>IF(A669="","",IFERROR(VLOOKUP(A669,'表3（采购界面）'!A:J,10,0),"NA"))</f>
        <v/>
      </c>
      <c r="Q669" s="34" t="str">
        <f>IF(A669="","",IFERROR(VLOOKUP(A669,'表3（采购界面）'!A:Z,11,0),"NA"))</f>
        <v/>
      </c>
      <c r="R669" s="34" t="str">
        <f t="shared" si="84"/>
        <v/>
      </c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</row>
    <row r="670" spans="10:33" x14ac:dyDescent="0.2">
      <c r="J670" s="34"/>
      <c r="K670" s="34" t="str">
        <f t="shared" si="81"/>
        <v/>
      </c>
      <c r="L670" s="34" t="str">
        <f t="shared" si="79"/>
        <v/>
      </c>
      <c r="M670" s="34" t="str">
        <f t="shared" si="82"/>
        <v/>
      </c>
      <c r="N670" s="34" t="str">
        <f t="shared" si="83"/>
        <v/>
      </c>
      <c r="O670" s="34" t="str">
        <f t="shared" si="80"/>
        <v/>
      </c>
      <c r="P670" s="34" t="str">
        <f>IF(A670="","",IFERROR(VLOOKUP(A670,'表3（采购界面）'!A:J,10,0),"NA"))</f>
        <v/>
      </c>
      <c r="Q670" s="34" t="str">
        <f>IF(A670="","",IFERROR(VLOOKUP(A670,'表3（采购界面）'!A:Z,11,0),"NA"))</f>
        <v/>
      </c>
      <c r="R670" s="34" t="str">
        <f t="shared" si="84"/>
        <v/>
      </c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</row>
    <row r="671" spans="10:33" x14ac:dyDescent="0.2">
      <c r="J671" s="34"/>
      <c r="K671" s="34" t="str">
        <f t="shared" si="81"/>
        <v/>
      </c>
      <c r="L671" s="34" t="str">
        <f t="shared" si="79"/>
        <v/>
      </c>
      <c r="M671" s="34" t="str">
        <f t="shared" si="82"/>
        <v/>
      </c>
      <c r="N671" s="34" t="str">
        <f t="shared" si="83"/>
        <v/>
      </c>
      <c r="O671" s="34" t="str">
        <f t="shared" si="80"/>
        <v/>
      </c>
      <c r="P671" s="34" t="str">
        <f>IF(A671="","",IFERROR(VLOOKUP(A671,'表3（采购界面）'!A:J,10,0),"NA"))</f>
        <v/>
      </c>
      <c r="Q671" s="34" t="str">
        <f>IF(A671="","",IFERROR(VLOOKUP(A671,'表3（采购界面）'!A:Z,11,0),"NA"))</f>
        <v/>
      </c>
      <c r="R671" s="34" t="str">
        <f t="shared" si="84"/>
        <v/>
      </c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</row>
    <row r="672" spans="10:33" x14ac:dyDescent="0.2">
      <c r="J672" s="34"/>
      <c r="K672" s="34" t="str">
        <f t="shared" si="81"/>
        <v/>
      </c>
      <c r="L672" s="34" t="str">
        <f t="shared" si="79"/>
        <v/>
      </c>
      <c r="M672" s="34" t="str">
        <f t="shared" si="82"/>
        <v/>
      </c>
      <c r="N672" s="34" t="str">
        <f t="shared" si="83"/>
        <v/>
      </c>
      <c r="O672" s="34" t="str">
        <f t="shared" si="80"/>
        <v/>
      </c>
      <c r="P672" s="34" t="str">
        <f>IF(A672="","",IFERROR(VLOOKUP(A672,'表3（采购界面）'!A:J,10,0),"NA"))</f>
        <v/>
      </c>
      <c r="Q672" s="34" t="str">
        <f>IF(A672="","",IFERROR(VLOOKUP(A672,'表3（采购界面）'!A:Z,11,0),"NA"))</f>
        <v/>
      </c>
      <c r="R672" s="34" t="str">
        <f t="shared" si="84"/>
        <v/>
      </c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</row>
    <row r="673" spans="10:33" x14ac:dyDescent="0.2">
      <c r="J673" s="34"/>
      <c r="K673" s="34" t="str">
        <f t="shared" si="81"/>
        <v/>
      </c>
      <c r="L673" s="34" t="str">
        <f t="shared" si="79"/>
        <v/>
      </c>
      <c r="M673" s="34" t="str">
        <f t="shared" si="82"/>
        <v/>
      </c>
      <c r="N673" s="34" t="str">
        <f t="shared" si="83"/>
        <v/>
      </c>
      <c r="O673" s="34" t="str">
        <f t="shared" si="80"/>
        <v/>
      </c>
      <c r="P673" s="34" t="str">
        <f>IF(A673="","",IFERROR(VLOOKUP(A673,'表3（采购界面）'!A:J,10,0),"NA"))</f>
        <v/>
      </c>
      <c r="Q673" s="34" t="str">
        <f>IF(A673="","",IFERROR(VLOOKUP(A673,'表3（采购界面）'!A:Z,11,0),"NA"))</f>
        <v/>
      </c>
      <c r="R673" s="34" t="str">
        <f t="shared" si="84"/>
        <v/>
      </c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</row>
    <row r="674" spans="10:33" x14ac:dyDescent="0.2">
      <c r="J674" s="34"/>
      <c r="K674" s="34" t="str">
        <f t="shared" si="81"/>
        <v/>
      </c>
      <c r="L674" s="34" t="str">
        <f t="shared" si="79"/>
        <v/>
      </c>
      <c r="M674" s="34" t="str">
        <f t="shared" si="82"/>
        <v/>
      </c>
      <c r="N674" s="34" t="str">
        <f t="shared" si="83"/>
        <v/>
      </c>
      <c r="O674" s="34" t="str">
        <f t="shared" si="80"/>
        <v/>
      </c>
      <c r="P674" s="34" t="str">
        <f>IF(A674="","",IFERROR(VLOOKUP(A674,'表3（采购界面）'!A:J,10,0),"NA"))</f>
        <v/>
      </c>
      <c r="Q674" s="34" t="str">
        <f>IF(A674="","",IFERROR(VLOOKUP(A674,'表3（采购界面）'!A:Z,11,0),"NA"))</f>
        <v/>
      </c>
      <c r="R674" s="34" t="str">
        <f t="shared" si="84"/>
        <v/>
      </c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</row>
    <row r="675" spans="10:33" x14ac:dyDescent="0.2">
      <c r="J675" s="34"/>
      <c r="K675" s="34" t="str">
        <f t="shared" si="81"/>
        <v/>
      </c>
      <c r="L675" s="34" t="str">
        <f t="shared" si="79"/>
        <v/>
      </c>
      <c r="M675" s="34" t="str">
        <f t="shared" si="82"/>
        <v/>
      </c>
      <c r="N675" s="34" t="str">
        <f t="shared" si="83"/>
        <v/>
      </c>
      <c r="O675" s="34" t="str">
        <f t="shared" si="80"/>
        <v/>
      </c>
      <c r="P675" s="34" t="str">
        <f>IF(A675="","",IFERROR(VLOOKUP(A675,'表3（采购界面）'!A:J,10,0),"NA"))</f>
        <v/>
      </c>
      <c r="Q675" s="34" t="str">
        <f>IF(A675="","",IFERROR(VLOOKUP(A675,'表3（采购界面）'!A:Z,11,0),"NA"))</f>
        <v/>
      </c>
      <c r="R675" s="34" t="str">
        <f t="shared" si="84"/>
        <v/>
      </c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</row>
    <row r="676" spans="10:33" x14ac:dyDescent="0.2">
      <c r="J676" s="34"/>
      <c r="K676" s="34" t="str">
        <f t="shared" si="81"/>
        <v/>
      </c>
      <c r="L676" s="34" t="str">
        <f t="shared" si="79"/>
        <v/>
      </c>
      <c r="M676" s="34" t="str">
        <f t="shared" si="82"/>
        <v/>
      </c>
      <c r="N676" s="34" t="str">
        <f t="shared" si="83"/>
        <v/>
      </c>
      <c r="O676" s="34" t="str">
        <f t="shared" si="80"/>
        <v/>
      </c>
      <c r="P676" s="34" t="str">
        <f>IF(A676="","",IFERROR(VLOOKUP(A676,'表3（采购界面）'!A:J,10,0),"NA"))</f>
        <v/>
      </c>
      <c r="Q676" s="34" t="str">
        <f>IF(A676="","",IFERROR(VLOOKUP(A676,'表3（采购界面）'!A:Z,11,0),"NA"))</f>
        <v/>
      </c>
      <c r="R676" s="34" t="str">
        <f t="shared" si="84"/>
        <v/>
      </c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</row>
    <row r="677" spans="10:33" x14ac:dyDescent="0.2">
      <c r="J677" s="34"/>
      <c r="K677" s="34" t="str">
        <f t="shared" si="81"/>
        <v/>
      </c>
      <c r="L677" s="34" t="str">
        <f t="shared" si="79"/>
        <v/>
      </c>
      <c r="M677" s="34" t="str">
        <f t="shared" si="82"/>
        <v/>
      </c>
      <c r="N677" s="34" t="str">
        <f t="shared" si="83"/>
        <v/>
      </c>
      <c r="O677" s="34" t="str">
        <f t="shared" si="80"/>
        <v/>
      </c>
      <c r="P677" s="34" t="str">
        <f>IF(A677="","",IFERROR(VLOOKUP(A677,'表3（采购界面）'!A:J,10,0),"NA"))</f>
        <v/>
      </c>
      <c r="Q677" s="34" t="str">
        <f>IF(A677="","",IFERROR(VLOOKUP(A677,'表3（采购界面）'!A:Z,11,0),"NA"))</f>
        <v/>
      </c>
      <c r="R677" s="34" t="str">
        <f t="shared" si="84"/>
        <v/>
      </c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</row>
    <row r="678" spans="10:33" x14ac:dyDescent="0.2">
      <c r="J678" s="34"/>
      <c r="K678" s="34" t="str">
        <f t="shared" si="81"/>
        <v/>
      </c>
      <c r="L678" s="34" t="str">
        <f t="shared" si="79"/>
        <v/>
      </c>
      <c r="M678" s="34" t="str">
        <f t="shared" si="82"/>
        <v/>
      </c>
      <c r="N678" s="34" t="str">
        <f t="shared" si="83"/>
        <v/>
      </c>
      <c r="O678" s="34" t="str">
        <f t="shared" si="80"/>
        <v/>
      </c>
      <c r="P678" s="34" t="str">
        <f>IF(A678="","",IFERROR(VLOOKUP(A678,'表3（采购界面）'!A:J,10,0),"NA"))</f>
        <v/>
      </c>
      <c r="Q678" s="34" t="str">
        <f>IF(A678="","",IFERROR(VLOOKUP(A678,'表3（采购界面）'!A:Z,11,0),"NA"))</f>
        <v/>
      </c>
      <c r="R678" s="34" t="str">
        <f t="shared" si="84"/>
        <v/>
      </c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</row>
    <row r="679" spans="10:33" x14ac:dyDescent="0.2">
      <c r="J679" s="34"/>
      <c r="K679" s="34" t="str">
        <f t="shared" si="81"/>
        <v/>
      </c>
      <c r="L679" s="34" t="str">
        <f t="shared" si="79"/>
        <v/>
      </c>
      <c r="M679" s="34" t="str">
        <f t="shared" si="82"/>
        <v/>
      </c>
      <c r="N679" s="34" t="str">
        <f t="shared" si="83"/>
        <v/>
      </c>
      <c r="O679" s="34" t="str">
        <f t="shared" si="80"/>
        <v/>
      </c>
      <c r="P679" s="34" t="str">
        <f>IF(A679="","",IFERROR(VLOOKUP(A679,'表3（采购界面）'!A:J,10,0),"NA"))</f>
        <v/>
      </c>
      <c r="Q679" s="34" t="str">
        <f>IF(A679="","",IFERROR(VLOOKUP(A679,'表3（采购界面）'!A:Z,11,0),"NA"))</f>
        <v/>
      </c>
      <c r="R679" s="34" t="str">
        <f t="shared" si="84"/>
        <v/>
      </c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</row>
    <row r="680" spans="10:33" x14ac:dyDescent="0.2">
      <c r="J680" s="34"/>
      <c r="K680" s="34" t="str">
        <f t="shared" si="81"/>
        <v/>
      </c>
      <c r="L680" s="34" t="str">
        <f t="shared" si="79"/>
        <v/>
      </c>
      <c r="M680" s="34" t="str">
        <f t="shared" si="82"/>
        <v/>
      </c>
      <c r="N680" s="34" t="str">
        <f t="shared" si="83"/>
        <v/>
      </c>
      <c r="O680" s="34" t="str">
        <f t="shared" si="80"/>
        <v/>
      </c>
      <c r="P680" s="34" t="str">
        <f>IF(A680="","",IFERROR(VLOOKUP(A680,'表3（采购界面）'!A:J,10,0),"NA"))</f>
        <v/>
      </c>
      <c r="Q680" s="34" t="str">
        <f>IF(A680="","",IFERROR(VLOOKUP(A680,'表3（采购界面）'!A:Z,11,0),"NA"))</f>
        <v/>
      </c>
      <c r="R680" s="34" t="str">
        <f t="shared" si="84"/>
        <v/>
      </c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</row>
    <row r="681" spans="10:33" x14ac:dyDescent="0.2">
      <c r="J681" s="34"/>
      <c r="K681" s="34" t="str">
        <f t="shared" si="81"/>
        <v/>
      </c>
      <c r="L681" s="34" t="str">
        <f t="shared" si="79"/>
        <v/>
      </c>
      <c r="M681" s="34" t="str">
        <f t="shared" si="82"/>
        <v/>
      </c>
      <c r="N681" s="34" t="str">
        <f t="shared" si="83"/>
        <v/>
      </c>
      <c r="O681" s="34" t="str">
        <f t="shared" si="80"/>
        <v/>
      </c>
      <c r="P681" s="34" t="str">
        <f>IF(A681="","",IFERROR(VLOOKUP(A681,'表3（采购界面）'!A:J,10,0),"NA"))</f>
        <v/>
      </c>
      <c r="Q681" s="34" t="str">
        <f>IF(A681="","",IFERROR(VLOOKUP(A681,'表3（采购界面）'!A:Z,11,0),"NA"))</f>
        <v/>
      </c>
      <c r="R681" s="34" t="str">
        <f t="shared" si="84"/>
        <v/>
      </c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</row>
    <row r="682" spans="10:33" x14ac:dyDescent="0.2">
      <c r="J682" s="34"/>
      <c r="K682" s="34" t="str">
        <f t="shared" si="81"/>
        <v/>
      </c>
      <c r="L682" s="34" t="str">
        <f t="shared" si="79"/>
        <v/>
      </c>
      <c r="M682" s="34" t="str">
        <f t="shared" si="82"/>
        <v/>
      </c>
      <c r="N682" s="34" t="str">
        <f t="shared" si="83"/>
        <v/>
      </c>
      <c r="O682" s="34" t="str">
        <f t="shared" si="80"/>
        <v/>
      </c>
      <c r="P682" s="34" t="str">
        <f>IF(A682="","",IFERROR(VLOOKUP(A682,'表3（采购界面）'!A:J,10,0),"NA"))</f>
        <v/>
      </c>
      <c r="Q682" s="34" t="str">
        <f>IF(A682="","",IFERROR(VLOOKUP(A682,'表3（采购界面）'!A:Z,11,0),"NA"))</f>
        <v/>
      </c>
      <c r="R682" s="34" t="str">
        <f t="shared" si="84"/>
        <v/>
      </c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</row>
    <row r="683" spans="10:33" x14ac:dyDescent="0.2">
      <c r="J683" s="34"/>
      <c r="K683" s="34" t="str">
        <f t="shared" si="81"/>
        <v/>
      </c>
      <c r="L683" s="34" t="str">
        <f t="shared" si="79"/>
        <v/>
      </c>
      <c r="M683" s="34" t="str">
        <f t="shared" si="82"/>
        <v/>
      </c>
      <c r="N683" s="34" t="str">
        <f t="shared" si="83"/>
        <v/>
      </c>
      <c r="O683" s="34" t="str">
        <f t="shared" si="80"/>
        <v/>
      </c>
      <c r="P683" s="34" t="str">
        <f>IF(A683="","",IFERROR(VLOOKUP(A683,'表3（采购界面）'!A:J,10,0),"NA"))</f>
        <v/>
      </c>
      <c r="Q683" s="34" t="str">
        <f>IF(A683="","",IFERROR(VLOOKUP(A683,'表3（采购界面）'!A:Z,11,0),"NA"))</f>
        <v/>
      </c>
      <c r="R683" s="34" t="str">
        <f t="shared" si="84"/>
        <v/>
      </c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</row>
    <row r="684" spans="10:33" x14ac:dyDescent="0.2">
      <c r="J684" s="34"/>
      <c r="K684" s="34" t="str">
        <f t="shared" si="81"/>
        <v/>
      </c>
      <c r="L684" s="34" t="str">
        <f t="shared" si="79"/>
        <v/>
      </c>
      <c r="M684" s="34" t="str">
        <f t="shared" si="82"/>
        <v/>
      </c>
      <c r="N684" s="34" t="str">
        <f t="shared" si="83"/>
        <v/>
      </c>
      <c r="O684" s="34" t="str">
        <f t="shared" si="80"/>
        <v/>
      </c>
      <c r="P684" s="34" t="str">
        <f>IF(A684="","",IFERROR(VLOOKUP(A684,'表3（采购界面）'!A:J,10,0),"NA"))</f>
        <v/>
      </c>
      <c r="Q684" s="34" t="str">
        <f>IF(A684="","",IFERROR(VLOOKUP(A684,'表3（采购界面）'!A:Z,11,0),"NA"))</f>
        <v/>
      </c>
      <c r="R684" s="34" t="str">
        <f t="shared" si="84"/>
        <v/>
      </c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</row>
    <row r="685" spans="10:33" x14ac:dyDescent="0.2">
      <c r="J685" s="34"/>
      <c r="K685" s="34" t="str">
        <f t="shared" si="81"/>
        <v/>
      </c>
      <c r="L685" s="34" t="str">
        <f t="shared" si="79"/>
        <v/>
      </c>
      <c r="M685" s="34" t="str">
        <f t="shared" si="82"/>
        <v/>
      </c>
      <c r="N685" s="34" t="str">
        <f t="shared" si="83"/>
        <v/>
      </c>
      <c r="O685" s="34" t="str">
        <f t="shared" si="80"/>
        <v/>
      </c>
      <c r="P685" s="34" t="str">
        <f>IF(A685="","",IFERROR(VLOOKUP(A685,'表3（采购界面）'!A:J,10,0),"NA"))</f>
        <v/>
      </c>
      <c r="Q685" s="34" t="str">
        <f>IF(A685="","",IFERROR(VLOOKUP(A685,'表3（采购界面）'!A:Z,11,0),"NA"))</f>
        <v/>
      </c>
      <c r="R685" s="34" t="str">
        <f t="shared" si="84"/>
        <v/>
      </c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</row>
    <row r="686" spans="10:33" x14ac:dyDescent="0.2">
      <c r="J686" s="34"/>
      <c r="K686" s="34" t="str">
        <f t="shared" si="81"/>
        <v/>
      </c>
      <c r="L686" s="34" t="str">
        <f t="shared" si="79"/>
        <v/>
      </c>
      <c r="M686" s="34" t="str">
        <f t="shared" si="82"/>
        <v/>
      </c>
      <c r="N686" s="34" t="str">
        <f t="shared" si="83"/>
        <v/>
      </c>
      <c r="O686" s="34" t="str">
        <f t="shared" si="80"/>
        <v/>
      </c>
      <c r="P686" s="34" t="str">
        <f>IF(A686="","",IFERROR(VLOOKUP(A686,'表3（采购界面）'!A:J,10,0),"NA"))</f>
        <v/>
      </c>
      <c r="Q686" s="34" t="str">
        <f>IF(A686="","",IFERROR(VLOOKUP(A686,'表3（采购界面）'!A:Z,11,0),"NA"))</f>
        <v/>
      </c>
      <c r="R686" s="34" t="str">
        <f t="shared" si="84"/>
        <v/>
      </c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</row>
    <row r="687" spans="10:33" x14ac:dyDescent="0.2">
      <c r="J687" s="34"/>
      <c r="K687" s="34" t="str">
        <f t="shared" si="81"/>
        <v/>
      </c>
      <c r="L687" s="34" t="str">
        <f t="shared" si="79"/>
        <v/>
      </c>
      <c r="M687" s="34" t="str">
        <f t="shared" si="82"/>
        <v/>
      </c>
      <c r="N687" s="34" t="str">
        <f t="shared" si="83"/>
        <v/>
      </c>
      <c r="O687" s="34" t="str">
        <f t="shared" si="80"/>
        <v/>
      </c>
      <c r="P687" s="34" t="str">
        <f>IF(A687="","",IFERROR(VLOOKUP(A687,'表3（采购界面）'!A:J,10,0),"NA"))</f>
        <v/>
      </c>
      <c r="Q687" s="34" t="str">
        <f>IF(A687="","",IFERROR(VLOOKUP(A687,'表3（采购界面）'!A:Z,11,0),"NA"))</f>
        <v/>
      </c>
      <c r="R687" s="34" t="str">
        <f t="shared" si="84"/>
        <v/>
      </c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</row>
    <row r="688" spans="10:33" x14ac:dyDescent="0.2">
      <c r="J688" s="34"/>
      <c r="K688" s="34" t="str">
        <f t="shared" si="81"/>
        <v/>
      </c>
      <c r="L688" s="34" t="str">
        <f t="shared" si="79"/>
        <v/>
      </c>
      <c r="M688" s="34" t="str">
        <f t="shared" si="82"/>
        <v/>
      </c>
      <c r="N688" s="34" t="str">
        <f t="shared" si="83"/>
        <v/>
      </c>
      <c r="O688" s="34" t="str">
        <f t="shared" si="80"/>
        <v/>
      </c>
      <c r="P688" s="34" t="str">
        <f>IF(A688="","",IFERROR(VLOOKUP(A688,'表3（采购界面）'!A:J,10,0),"NA"))</f>
        <v/>
      </c>
      <c r="Q688" s="34" t="str">
        <f>IF(A688="","",IFERROR(VLOOKUP(A688,'表3（采购界面）'!A:Z,11,0),"NA"))</f>
        <v/>
      </c>
      <c r="R688" s="34" t="str">
        <f t="shared" si="84"/>
        <v/>
      </c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</row>
    <row r="689" spans="10:33" x14ac:dyDescent="0.2">
      <c r="J689" s="34"/>
      <c r="K689" s="34" t="str">
        <f t="shared" si="81"/>
        <v/>
      </c>
      <c r="L689" s="34" t="str">
        <f t="shared" si="79"/>
        <v/>
      </c>
      <c r="M689" s="34" t="str">
        <f t="shared" si="82"/>
        <v/>
      </c>
      <c r="N689" s="34" t="str">
        <f t="shared" si="83"/>
        <v/>
      </c>
      <c r="O689" s="34" t="str">
        <f t="shared" si="80"/>
        <v/>
      </c>
      <c r="P689" s="34" t="str">
        <f>IF(A689="","",IFERROR(VLOOKUP(A689,'表3（采购界面）'!A:J,10,0),"NA"))</f>
        <v/>
      </c>
      <c r="Q689" s="34" t="str">
        <f>IF(A689="","",IFERROR(VLOOKUP(A689,'表3（采购界面）'!A:Z,11,0),"NA"))</f>
        <v/>
      </c>
      <c r="R689" s="34" t="str">
        <f t="shared" si="84"/>
        <v/>
      </c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</row>
    <row r="690" spans="10:33" x14ac:dyDescent="0.2">
      <c r="J690" s="34"/>
      <c r="K690" s="34" t="str">
        <f t="shared" si="81"/>
        <v/>
      </c>
      <c r="L690" s="34" t="str">
        <f t="shared" si="79"/>
        <v/>
      </c>
      <c r="M690" s="34" t="str">
        <f t="shared" si="82"/>
        <v/>
      </c>
      <c r="N690" s="34" t="str">
        <f t="shared" si="83"/>
        <v/>
      </c>
      <c r="O690" s="34" t="str">
        <f t="shared" si="80"/>
        <v/>
      </c>
      <c r="P690" s="34" t="str">
        <f>IF(A690="","",IFERROR(VLOOKUP(A690,'表3（采购界面）'!A:J,10,0),"NA"))</f>
        <v/>
      </c>
      <c r="Q690" s="34" t="str">
        <f>IF(A690="","",IFERROR(VLOOKUP(A690,'表3（采购界面）'!A:Z,11,0),"NA"))</f>
        <v/>
      </c>
      <c r="R690" s="34" t="str">
        <f t="shared" si="84"/>
        <v/>
      </c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</row>
    <row r="691" spans="10:33" x14ac:dyDescent="0.2">
      <c r="J691" s="34"/>
      <c r="K691" s="34" t="str">
        <f t="shared" si="81"/>
        <v/>
      </c>
      <c r="L691" s="34" t="str">
        <f t="shared" si="79"/>
        <v/>
      </c>
      <c r="M691" s="34" t="str">
        <f t="shared" si="82"/>
        <v/>
      </c>
      <c r="N691" s="34" t="str">
        <f t="shared" si="83"/>
        <v/>
      </c>
      <c r="O691" s="34" t="str">
        <f t="shared" si="80"/>
        <v/>
      </c>
      <c r="P691" s="34" t="str">
        <f>IF(A691="","",IFERROR(VLOOKUP(A691,'表3（采购界面）'!A:J,10,0),"NA"))</f>
        <v/>
      </c>
      <c r="Q691" s="34" t="str">
        <f>IF(A691="","",IFERROR(VLOOKUP(A691,'表3（采购界面）'!A:Z,11,0),"NA"))</f>
        <v/>
      </c>
      <c r="R691" s="34" t="str">
        <f t="shared" si="84"/>
        <v/>
      </c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</row>
    <row r="692" spans="10:33" x14ac:dyDescent="0.2">
      <c r="J692" s="34"/>
      <c r="K692" s="34" t="str">
        <f t="shared" si="81"/>
        <v/>
      </c>
      <c r="L692" s="34" t="str">
        <f t="shared" si="79"/>
        <v/>
      </c>
      <c r="M692" s="34" t="str">
        <f t="shared" si="82"/>
        <v/>
      </c>
      <c r="N692" s="34" t="str">
        <f t="shared" si="83"/>
        <v/>
      </c>
      <c r="O692" s="34" t="str">
        <f t="shared" si="80"/>
        <v/>
      </c>
      <c r="P692" s="34" t="str">
        <f>IF(A692="","",IFERROR(VLOOKUP(A692,'表3（采购界面）'!A:J,10,0),"NA"))</f>
        <v/>
      </c>
      <c r="Q692" s="34" t="str">
        <f>IF(A692="","",IFERROR(VLOOKUP(A692,'表3（采购界面）'!A:Z,11,0),"NA"))</f>
        <v/>
      </c>
      <c r="R692" s="34" t="str">
        <f t="shared" si="84"/>
        <v/>
      </c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</row>
    <row r="693" spans="10:33" x14ac:dyDescent="0.2">
      <c r="J693" s="34"/>
      <c r="K693" s="34" t="str">
        <f t="shared" si="81"/>
        <v/>
      </c>
      <c r="L693" s="34" t="str">
        <f t="shared" si="79"/>
        <v/>
      </c>
      <c r="M693" s="34" t="str">
        <f t="shared" si="82"/>
        <v/>
      </c>
      <c r="N693" s="34" t="str">
        <f t="shared" si="83"/>
        <v/>
      </c>
      <c r="O693" s="34" t="str">
        <f t="shared" si="80"/>
        <v/>
      </c>
      <c r="P693" s="34" t="str">
        <f>IF(A693="","",IFERROR(VLOOKUP(A693,'表3（采购界面）'!A:J,10,0),"NA"))</f>
        <v/>
      </c>
      <c r="Q693" s="34" t="str">
        <f>IF(A693="","",IFERROR(VLOOKUP(A693,'表3（采购界面）'!A:Z,11,0),"NA"))</f>
        <v/>
      </c>
      <c r="R693" s="34" t="str">
        <f t="shared" si="84"/>
        <v/>
      </c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</row>
    <row r="694" spans="10:33" x14ac:dyDescent="0.2">
      <c r="J694" s="34"/>
      <c r="K694" s="34" t="str">
        <f t="shared" si="81"/>
        <v/>
      </c>
      <c r="L694" s="34" t="str">
        <f t="shared" si="79"/>
        <v/>
      </c>
      <c r="M694" s="34" t="str">
        <f t="shared" si="82"/>
        <v/>
      </c>
      <c r="N694" s="34" t="str">
        <f t="shared" si="83"/>
        <v/>
      </c>
      <c r="O694" s="34" t="str">
        <f t="shared" si="80"/>
        <v/>
      </c>
      <c r="P694" s="34" t="str">
        <f>IF(A694="","",IFERROR(VLOOKUP(A694,'表3（采购界面）'!A:J,10,0),"NA"))</f>
        <v/>
      </c>
      <c r="Q694" s="34" t="str">
        <f>IF(A694="","",IFERROR(VLOOKUP(A694,'表3（采购界面）'!A:Z,11,0),"NA"))</f>
        <v/>
      </c>
      <c r="R694" s="34" t="str">
        <f t="shared" si="84"/>
        <v/>
      </c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</row>
    <row r="695" spans="10:33" x14ac:dyDescent="0.2">
      <c r="J695" s="34"/>
      <c r="K695" s="34" t="str">
        <f t="shared" si="81"/>
        <v/>
      </c>
      <c r="L695" s="34" t="str">
        <f t="shared" si="79"/>
        <v/>
      </c>
      <c r="M695" s="34" t="str">
        <f t="shared" si="82"/>
        <v/>
      </c>
      <c r="N695" s="34" t="str">
        <f t="shared" si="83"/>
        <v/>
      </c>
      <c r="O695" s="34" t="str">
        <f t="shared" si="80"/>
        <v/>
      </c>
      <c r="P695" s="34" t="str">
        <f>IF(A695="","",IFERROR(VLOOKUP(A695,'表3（采购界面）'!A:J,10,0),"NA"))</f>
        <v/>
      </c>
      <c r="Q695" s="34" t="str">
        <f>IF(A695="","",IFERROR(VLOOKUP(A695,'表3（采购界面）'!A:Z,11,0),"NA"))</f>
        <v/>
      </c>
      <c r="R695" s="34" t="str">
        <f t="shared" si="84"/>
        <v/>
      </c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</row>
    <row r="696" spans="10:33" x14ac:dyDescent="0.2">
      <c r="J696" s="34"/>
      <c r="K696" s="34" t="str">
        <f t="shared" si="81"/>
        <v/>
      </c>
      <c r="L696" s="34" t="str">
        <f t="shared" si="79"/>
        <v/>
      </c>
      <c r="M696" s="34" t="str">
        <f t="shared" si="82"/>
        <v/>
      </c>
      <c r="N696" s="34" t="str">
        <f t="shared" si="83"/>
        <v/>
      </c>
      <c r="O696" s="34" t="str">
        <f t="shared" si="80"/>
        <v/>
      </c>
      <c r="P696" s="34" t="str">
        <f>IF(A696="","",IFERROR(VLOOKUP(A696,'表3（采购界面）'!A:J,10,0),"NA"))</f>
        <v/>
      </c>
      <c r="Q696" s="34" t="str">
        <f>IF(A696="","",IFERROR(VLOOKUP(A696,'表3（采购界面）'!A:Z,11,0),"NA"))</f>
        <v/>
      </c>
      <c r="R696" s="34" t="str">
        <f t="shared" si="84"/>
        <v/>
      </c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</row>
    <row r="697" spans="10:33" x14ac:dyDescent="0.2">
      <c r="J697" s="34"/>
      <c r="K697" s="34" t="str">
        <f t="shared" si="81"/>
        <v/>
      </c>
      <c r="L697" s="34" t="str">
        <f t="shared" si="79"/>
        <v/>
      </c>
      <c r="M697" s="34" t="str">
        <f t="shared" si="82"/>
        <v/>
      </c>
      <c r="N697" s="34" t="str">
        <f t="shared" si="83"/>
        <v/>
      </c>
      <c r="O697" s="34" t="str">
        <f t="shared" si="80"/>
        <v/>
      </c>
      <c r="P697" s="34" t="str">
        <f>IF(A697="","",IFERROR(VLOOKUP(A697,'表3（采购界面）'!A:J,10,0),"NA"))</f>
        <v/>
      </c>
      <c r="Q697" s="34" t="str">
        <f>IF(A697="","",IFERROR(VLOOKUP(A697,'表3（采购界面）'!A:Z,11,0),"NA"))</f>
        <v/>
      </c>
      <c r="R697" s="34" t="str">
        <f t="shared" si="84"/>
        <v/>
      </c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</row>
    <row r="698" spans="10:33" x14ac:dyDescent="0.2">
      <c r="J698" s="34"/>
      <c r="K698" s="34" t="str">
        <f t="shared" si="81"/>
        <v/>
      </c>
      <c r="L698" s="34" t="str">
        <f t="shared" si="79"/>
        <v/>
      </c>
      <c r="M698" s="34" t="str">
        <f t="shared" si="82"/>
        <v/>
      </c>
      <c r="N698" s="34" t="str">
        <f t="shared" si="83"/>
        <v/>
      </c>
      <c r="O698" s="34" t="str">
        <f t="shared" si="80"/>
        <v/>
      </c>
      <c r="P698" s="34" t="str">
        <f>IF(A698="","",IFERROR(VLOOKUP(A698,'表3（采购界面）'!A:J,10,0),"NA"))</f>
        <v/>
      </c>
      <c r="Q698" s="34" t="str">
        <f>IF(A698="","",IFERROR(VLOOKUP(A698,'表3（采购界面）'!A:Z,11,0),"NA"))</f>
        <v/>
      </c>
      <c r="R698" s="34" t="str">
        <f t="shared" si="84"/>
        <v/>
      </c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</row>
    <row r="699" spans="10:33" x14ac:dyDescent="0.2">
      <c r="J699" s="34"/>
      <c r="K699" s="34" t="str">
        <f t="shared" si="81"/>
        <v/>
      </c>
      <c r="L699" s="34" t="str">
        <f t="shared" si="79"/>
        <v/>
      </c>
      <c r="M699" s="34" t="str">
        <f t="shared" si="82"/>
        <v/>
      </c>
      <c r="N699" s="34" t="str">
        <f t="shared" si="83"/>
        <v/>
      </c>
      <c r="O699" s="34" t="str">
        <f t="shared" si="80"/>
        <v/>
      </c>
      <c r="P699" s="34" t="str">
        <f>IF(A699="","",IFERROR(VLOOKUP(A699,'表3（采购界面）'!A:J,10,0),"NA"))</f>
        <v/>
      </c>
      <c r="Q699" s="34" t="str">
        <f>IF(A699="","",IFERROR(VLOOKUP(A699,'表3（采购界面）'!A:Z,11,0),"NA"))</f>
        <v/>
      </c>
      <c r="R699" s="34" t="str">
        <f t="shared" si="84"/>
        <v/>
      </c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</row>
    <row r="700" spans="10:33" x14ac:dyDescent="0.2">
      <c r="J700" s="34"/>
      <c r="K700" s="34" t="str">
        <f t="shared" si="81"/>
        <v/>
      </c>
      <c r="L700" s="34" t="str">
        <f t="shared" si="79"/>
        <v/>
      </c>
      <c r="M700" s="34" t="str">
        <f t="shared" si="82"/>
        <v/>
      </c>
      <c r="N700" s="34" t="str">
        <f t="shared" si="83"/>
        <v/>
      </c>
      <c r="O700" s="34" t="str">
        <f t="shared" si="80"/>
        <v/>
      </c>
      <c r="P700" s="34" t="str">
        <f>IF(A700="","",IFERROR(VLOOKUP(A700,'表3（采购界面）'!A:J,10,0),"NA"))</f>
        <v/>
      </c>
      <c r="Q700" s="34" t="str">
        <f>IF(A700="","",IFERROR(VLOOKUP(A700,'表3（采购界面）'!A:Z,11,0),"NA"))</f>
        <v/>
      </c>
      <c r="R700" s="34" t="str">
        <f t="shared" si="84"/>
        <v/>
      </c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</row>
    <row r="701" spans="10:33" x14ac:dyDescent="0.2">
      <c r="J701" s="34"/>
      <c r="K701" s="34" t="str">
        <f t="shared" si="81"/>
        <v/>
      </c>
      <c r="L701" s="34" t="str">
        <f t="shared" si="79"/>
        <v/>
      </c>
      <c r="M701" s="34" t="str">
        <f t="shared" si="82"/>
        <v/>
      </c>
      <c r="N701" s="34" t="str">
        <f t="shared" si="83"/>
        <v/>
      </c>
      <c r="O701" s="34" t="str">
        <f t="shared" si="80"/>
        <v/>
      </c>
      <c r="P701" s="34" t="str">
        <f>IF(A701="","",IFERROR(VLOOKUP(A701,'表3（采购界面）'!A:J,10,0),"NA"))</f>
        <v/>
      </c>
      <c r="Q701" s="34" t="str">
        <f>IF(A701="","",IFERROR(VLOOKUP(A701,'表3（采购界面）'!A:Z,11,0),"NA"))</f>
        <v/>
      </c>
      <c r="R701" s="34" t="str">
        <f t="shared" si="84"/>
        <v/>
      </c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</row>
    <row r="702" spans="10:33" x14ac:dyDescent="0.2">
      <c r="J702" s="34"/>
      <c r="K702" s="34" t="str">
        <f t="shared" si="81"/>
        <v/>
      </c>
      <c r="L702" s="34" t="str">
        <f t="shared" si="79"/>
        <v/>
      </c>
      <c r="M702" s="34" t="str">
        <f t="shared" si="82"/>
        <v/>
      </c>
      <c r="N702" s="34" t="str">
        <f t="shared" si="83"/>
        <v/>
      </c>
      <c r="O702" s="34" t="str">
        <f t="shared" si="80"/>
        <v/>
      </c>
      <c r="P702" s="34" t="str">
        <f>IF(A702="","",IFERROR(VLOOKUP(A702,'表3（采购界面）'!A:J,10,0),"NA"))</f>
        <v/>
      </c>
      <c r="Q702" s="34" t="str">
        <f>IF(A702="","",IFERROR(VLOOKUP(A702,'表3（采购界面）'!A:Z,11,0),"NA"))</f>
        <v/>
      </c>
      <c r="R702" s="34" t="str">
        <f t="shared" si="84"/>
        <v/>
      </c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</row>
    <row r="703" spans="10:33" x14ac:dyDescent="0.2">
      <c r="J703" s="34"/>
      <c r="K703" s="34" t="str">
        <f t="shared" si="81"/>
        <v/>
      </c>
      <c r="L703" s="34" t="str">
        <f t="shared" si="79"/>
        <v/>
      </c>
      <c r="M703" s="34" t="str">
        <f t="shared" si="82"/>
        <v/>
      </c>
      <c r="N703" s="34" t="str">
        <f t="shared" si="83"/>
        <v/>
      </c>
      <c r="O703" s="34" t="str">
        <f t="shared" si="80"/>
        <v/>
      </c>
      <c r="P703" s="34" t="str">
        <f>IF(A703="","",IFERROR(VLOOKUP(A703,'表3（采购界面）'!A:J,10,0),"NA"))</f>
        <v/>
      </c>
      <c r="Q703" s="34" t="str">
        <f>IF(A703="","",IFERROR(VLOOKUP(A703,'表3（采购界面）'!A:Z,11,0),"NA"))</f>
        <v/>
      </c>
      <c r="R703" s="34" t="str">
        <f t="shared" si="84"/>
        <v/>
      </c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</row>
    <row r="704" spans="10:33" x14ac:dyDescent="0.2">
      <c r="J704" s="34"/>
      <c r="K704" s="34" t="str">
        <f t="shared" si="81"/>
        <v/>
      </c>
      <c r="L704" s="34" t="str">
        <f t="shared" si="79"/>
        <v/>
      </c>
      <c r="M704" s="34" t="str">
        <f t="shared" si="82"/>
        <v/>
      </c>
      <c r="N704" s="34" t="str">
        <f t="shared" si="83"/>
        <v/>
      </c>
      <c r="O704" s="34" t="str">
        <f t="shared" si="80"/>
        <v/>
      </c>
      <c r="P704" s="34" t="str">
        <f>IF(A704="","",IFERROR(VLOOKUP(A704,'表3（采购界面）'!A:J,10,0),"NA"))</f>
        <v/>
      </c>
      <c r="Q704" s="34" t="str">
        <f>IF(A704="","",IFERROR(VLOOKUP(A704,'表3（采购界面）'!A:Z,11,0),"NA"))</f>
        <v/>
      </c>
      <c r="R704" s="34" t="str">
        <f t="shared" si="84"/>
        <v/>
      </c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</row>
    <row r="705" spans="10:33" x14ac:dyDescent="0.2">
      <c r="J705" s="34"/>
      <c r="K705" s="34" t="str">
        <f t="shared" si="81"/>
        <v/>
      </c>
      <c r="L705" s="34" t="str">
        <f t="shared" si="79"/>
        <v/>
      </c>
      <c r="M705" s="34" t="str">
        <f t="shared" si="82"/>
        <v/>
      </c>
      <c r="N705" s="34" t="str">
        <f t="shared" si="83"/>
        <v/>
      </c>
      <c r="O705" s="34" t="str">
        <f t="shared" si="80"/>
        <v/>
      </c>
      <c r="P705" s="34" t="str">
        <f>IF(A705="","",IFERROR(VLOOKUP(A705,'表3（采购界面）'!A:J,10,0),"NA"))</f>
        <v/>
      </c>
      <c r="Q705" s="34" t="str">
        <f>IF(A705="","",IFERROR(VLOOKUP(A705,'表3（采购界面）'!A:Z,11,0),"NA"))</f>
        <v/>
      </c>
      <c r="R705" s="34" t="str">
        <f t="shared" si="84"/>
        <v/>
      </c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</row>
    <row r="706" spans="10:33" x14ac:dyDescent="0.2">
      <c r="J706" s="34"/>
      <c r="K706" s="34" t="str">
        <f t="shared" si="81"/>
        <v/>
      </c>
      <c r="L706" s="34" t="str">
        <f t="shared" si="79"/>
        <v/>
      </c>
      <c r="M706" s="34" t="str">
        <f t="shared" si="82"/>
        <v/>
      </c>
      <c r="N706" s="34" t="str">
        <f t="shared" si="83"/>
        <v/>
      </c>
      <c r="O706" s="34" t="str">
        <f t="shared" si="80"/>
        <v/>
      </c>
      <c r="P706" s="34" t="str">
        <f>IF(A706="","",IFERROR(VLOOKUP(A706,'表3（采购界面）'!A:J,10,0),"NA"))</f>
        <v/>
      </c>
      <c r="Q706" s="34" t="str">
        <f>IF(A706="","",IFERROR(VLOOKUP(A706,'表3（采购界面）'!A:Z,11,0),"NA"))</f>
        <v/>
      </c>
      <c r="R706" s="34" t="str">
        <f t="shared" si="84"/>
        <v/>
      </c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</row>
    <row r="707" spans="10:33" x14ac:dyDescent="0.2">
      <c r="J707" s="34"/>
      <c r="K707" s="34" t="str">
        <f t="shared" si="81"/>
        <v/>
      </c>
      <c r="L707" s="34" t="str">
        <f t="shared" si="79"/>
        <v/>
      </c>
      <c r="M707" s="34" t="str">
        <f t="shared" si="82"/>
        <v/>
      </c>
      <c r="N707" s="34" t="str">
        <f t="shared" si="83"/>
        <v/>
      </c>
      <c r="O707" s="34" t="str">
        <f t="shared" si="80"/>
        <v/>
      </c>
      <c r="P707" s="34" t="str">
        <f>IF(A707="","",IFERROR(VLOOKUP(A707,'表3（采购界面）'!A:J,10,0),"NA"))</f>
        <v/>
      </c>
      <c r="Q707" s="34" t="str">
        <f>IF(A707="","",IFERROR(VLOOKUP(A707,'表3（采购界面）'!A:Z,11,0),"NA"))</f>
        <v/>
      </c>
      <c r="R707" s="34" t="str">
        <f t="shared" si="84"/>
        <v/>
      </c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</row>
    <row r="708" spans="10:33" x14ac:dyDescent="0.2">
      <c r="J708" s="34"/>
      <c r="K708" s="34" t="str">
        <f t="shared" si="81"/>
        <v/>
      </c>
      <c r="L708" s="34" t="str">
        <f t="shared" si="79"/>
        <v/>
      </c>
      <c r="M708" s="34" t="str">
        <f t="shared" si="82"/>
        <v/>
      </c>
      <c r="N708" s="34" t="str">
        <f t="shared" si="83"/>
        <v/>
      </c>
      <c r="O708" s="34" t="str">
        <f t="shared" si="80"/>
        <v/>
      </c>
      <c r="P708" s="34" t="str">
        <f>IF(A708="","",IFERROR(VLOOKUP(A708,'表3（采购界面）'!A:J,10,0),"NA"))</f>
        <v/>
      </c>
      <c r="Q708" s="34" t="str">
        <f>IF(A708="","",IFERROR(VLOOKUP(A708,'表3（采购界面）'!A:Z,11,0),"NA"))</f>
        <v/>
      </c>
      <c r="R708" s="34" t="str">
        <f t="shared" si="84"/>
        <v/>
      </c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</row>
    <row r="709" spans="10:33" x14ac:dyDescent="0.2">
      <c r="J709" s="34"/>
      <c r="K709" s="34" t="str">
        <f t="shared" si="81"/>
        <v/>
      </c>
      <c r="L709" s="34" t="str">
        <f t="shared" ref="L709:L772" si="85">_xlfn.IFS(LEFT(A709)="1","MB",LEFT(A709)="2","WB",LEFT(A709)="3","WB",AND(LEFT(A709)="4",D709&lt;&gt;"中国",J709&lt;&gt;"Y01"),"FX",A709&lt;&gt;"","EX",A709="","")</f>
        <v/>
      </c>
      <c r="M709" s="34" t="str">
        <f t="shared" si="82"/>
        <v/>
      </c>
      <c r="N709" s="34" t="str">
        <f t="shared" si="83"/>
        <v/>
      </c>
      <c r="O709" s="34" t="str">
        <f t="shared" ref="O709:O772" si="86">IF(OR(LEFT(A709,1)="4",LEFT(A709,1)="5"),"NA","")</f>
        <v/>
      </c>
      <c r="P709" s="34" t="str">
        <f>IF(A709="","",IFERROR(VLOOKUP(A709,'表3（采购界面）'!A:J,10,0),"NA"))</f>
        <v/>
      </c>
      <c r="Q709" s="34" t="str">
        <f>IF(A709="","",IFERROR(VLOOKUP(A709,'表3（采购界面）'!A:Z,11,0),"NA"))</f>
        <v/>
      </c>
      <c r="R709" s="34" t="str">
        <f t="shared" si="84"/>
        <v/>
      </c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</row>
    <row r="710" spans="10:33" x14ac:dyDescent="0.2">
      <c r="J710" s="34"/>
      <c r="K710" s="34" t="str">
        <f t="shared" ref="K710:K773" si="87">_xlfn.IFS(AND(LEFT(A710,1)="4",D710="中国"),"ND",AND(LEFT(A710,1)="5",D710="中国"),"ND",AND(LEFT(A710,1)="5",D710&lt;&gt;"中国"),"M2",A710="","",A710&lt;&gt;"","PD")</f>
        <v/>
      </c>
      <c r="L710" s="34" t="str">
        <f t="shared" si="85"/>
        <v/>
      </c>
      <c r="M710" s="34" t="str">
        <f t="shared" ref="M710:M773" si="88">IF(OR(L710="FX",L710=""),"","NA")</f>
        <v/>
      </c>
      <c r="N710" s="34" t="str">
        <f t="shared" ref="N710:N773" si="89">IF(A710="","","NA")</f>
        <v/>
      </c>
      <c r="O710" s="34" t="str">
        <f t="shared" si="86"/>
        <v/>
      </c>
      <c r="P710" s="34" t="str">
        <f>IF(A710="","",IFERROR(VLOOKUP(A710,'表3（采购界面）'!A:J,10,0),"NA"))</f>
        <v/>
      </c>
      <c r="Q710" s="34" t="str">
        <f>IF(A710="","",IFERROR(VLOOKUP(A710,'表3（采购界面）'!A:Z,11,0),"NA"))</f>
        <v/>
      </c>
      <c r="R710" s="34" t="str">
        <f t="shared" ref="R710:R773" si="90">IF(A710="","",IF(OR(LEFT(A710,1)="1",LEFT(A710,1)="2",LEFT(A710,1)="3"),"F","E"))</f>
        <v/>
      </c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</row>
    <row r="711" spans="10:33" x14ac:dyDescent="0.2">
      <c r="J711" s="34"/>
      <c r="K711" s="34" t="str">
        <f t="shared" si="87"/>
        <v/>
      </c>
      <c r="L711" s="34" t="str">
        <f t="shared" si="85"/>
        <v/>
      </c>
      <c r="M711" s="34" t="str">
        <f t="shared" si="88"/>
        <v/>
      </c>
      <c r="N711" s="34" t="str">
        <f t="shared" si="89"/>
        <v/>
      </c>
      <c r="O711" s="34" t="str">
        <f t="shared" si="86"/>
        <v/>
      </c>
      <c r="P711" s="34" t="str">
        <f>IF(A711="","",IFERROR(VLOOKUP(A711,'表3（采购界面）'!A:J,10,0),"NA"))</f>
        <v/>
      </c>
      <c r="Q711" s="34" t="str">
        <f>IF(A711="","",IFERROR(VLOOKUP(A711,'表3（采购界面）'!A:Z,11,0),"NA"))</f>
        <v/>
      </c>
      <c r="R711" s="34" t="str">
        <f t="shared" si="90"/>
        <v/>
      </c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</row>
    <row r="712" spans="10:33" x14ac:dyDescent="0.2">
      <c r="J712" s="34"/>
      <c r="K712" s="34" t="str">
        <f t="shared" si="87"/>
        <v/>
      </c>
      <c r="L712" s="34" t="str">
        <f t="shared" si="85"/>
        <v/>
      </c>
      <c r="M712" s="34" t="str">
        <f t="shared" si="88"/>
        <v/>
      </c>
      <c r="N712" s="34" t="str">
        <f t="shared" si="89"/>
        <v/>
      </c>
      <c r="O712" s="34" t="str">
        <f t="shared" si="86"/>
        <v/>
      </c>
      <c r="P712" s="34" t="str">
        <f>IF(A712="","",IFERROR(VLOOKUP(A712,'表3（采购界面）'!A:J,10,0),"NA"))</f>
        <v/>
      </c>
      <c r="Q712" s="34" t="str">
        <f>IF(A712="","",IFERROR(VLOOKUP(A712,'表3（采购界面）'!A:Z,11,0),"NA"))</f>
        <v/>
      </c>
      <c r="R712" s="34" t="str">
        <f t="shared" si="90"/>
        <v/>
      </c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</row>
    <row r="713" spans="10:33" x14ac:dyDescent="0.2">
      <c r="J713" s="34"/>
      <c r="K713" s="34" t="str">
        <f t="shared" si="87"/>
        <v/>
      </c>
      <c r="L713" s="34" t="str">
        <f t="shared" si="85"/>
        <v/>
      </c>
      <c r="M713" s="34" t="str">
        <f t="shared" si="88"/>
        <v/>
      </c>
      <c r="N713" s="34" t="str">
        <f t="shared" si="89"/>
        <v/>
      </c>
      <c r="O713" s="34" t="str">
        <f t="shared" si="86"/>
        <v/>
      </c>
      <c r="P713" s="34" t="str">
        <f>IF(A713="","",IFERROR(VLOOKUP(A713,'表3（采购界面）'!A:J,10,0),"NA"))</f>
        <v/>
      </c>
      <c r="Q713" s="34" t="str">
        <f>IF(A713="","",IFERROR(VLOOKUP(A713,'表3（采购界面）'!A:Z,11,0),"NA"))</f>
        <v/>
      </c>
      <c r="R713" s="34" t="str">
        <f t="shared" si="90"/>
        <v/>
      </c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</row>
    <row r="714" spans="10:33" x14ac:dyDescent="0.2">
      <c r="J714" s="34"/>
      <c r="K714" s="34" t="str">
        <f t="shared" si="87"/>
        <v/>
      </c>
      <c r="L714" s="34" t="str">
        <f t="shared" si="85"/>
        <v/>
      </c>
      <c r="M714" s="34" t="str">
        <f t="shared" si="88"/>
        <v/>
      </c>
      <c r="N714" s="34" t="str">
        <f t="shared" si="89"/>
        <v/>
      </c>
      <c r="O714" s="34" t="str">
        <f t="shared" si="86"/>
        <v/>
      </c>
      <c r="P714" s="34" t="str">
        <f>IF(A714="","",IFERROR(VLOOKUP(A714,'表3（采购界面）'!A:J,10,0),"NA"))</f>
        <v/>
      </c>
      <c r="Q714" s="34" t="str">
        <f>IF(A714="","",IFERROR(VLOOKUP(A714,'表3（采购界面）'!A:Z,11,0),"NA"))</f>
        <v/>
      </c>
      <c r="R714" s="34" t="str">
        <f t="shared" si="90"/>
        <v/>
      </c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</row>
    <row r="715" spans="10:33" x14ac:dyDescent="0.2">
      <c r="J715" s="34"/>
      <c r="K715" s="34" t="str">
        <f t="shared" si="87"/>
        <v/>
      </c>
      <c r="L715" s="34" t="str">
        <f t="shared" si="85"/>
        <v/>
      </c>
      <c r="M715" s="34" t="str">
        <f t="shared" si="88"/>
        <v/>
      </c>
      <c r="N715" s="34" t="str">
        <f t="shared" si="89"/>
        <v/>
      </c>
      <c r="O715" s="34" t="str">
        <f t="shared" si="86"/>
        <v/>
      </c>
      <c r="P715" s="34" t="str">
        <f>IF(A715="","",IFERROR(VLOOKUP(A715,'表3（采购界面）'!A:J,10,0),"NA"))</f>
        <v/>
      </c>
      <c r="Q715" s="34" t="str">
        <f>IF(A715="","",IFERROR(VLOOKUP(A715,'表3（采购界面）'!A:Z,11,0),"NA"))</f>
        <v/>
      </c>
      <c r="R715" s="34" t="str">
        <f t="shared" si="90"/>
        <v/>
      </c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</row>
    <row r="716" spans="10:33" x14ac:dyDescent="0.2">
      <c r="J716" s="34"/>
      <c r="K716" s="34" t="str">
        <f t="shared" si="87"/>
        <v/>
      </c>
      <c r="L716" s="34" t="str">
        <f t="shared" si="85"/>
        <v/>
      </c>
      <c r="M716" s="34" t="str">
        <f t="shared" si="88"/>
        <v/>
      </c>
      <c r="N716" s="34" t="str">
        <f t="shared" si="89"/>
        <v/>
      </c>
      <c r="O716" s="34" t="str">
        <f t="shared" si="86"/>
        <v/>
      </c>
      <c r="P716" s="34" t="str">
        <f>IF(A716="","",IFERROR(VLOOKUP(A716,'表3（采购界面）'!A:J,10,0),"NA"))</f>
        <v/>
      </c>
      <c r="Q716" s="34" t="str">
        <f>IF(A716="","",IFERROR(VLOOKUP(A716,'表3（采购界面）'!A:Z,11,0),"NA"))</f>
        <v/>
      </c>
      <c r="R716" s="34" t="str">
        <f t="shared" si="90"/>
        <v/>
      </c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</row>
    <row r="717" spans="10:33" x14ac:dyDescent="0.2">
      <c r="J717" s="34"/>
      <c r="K717" s="34" t="str">
        <f t="shared" si="87"/>
        <v/>
      </c>
      <c r="L717" s="34" t="str">
        <f t="shared" si="85"/>
        <v/>
      </c>
      <c r="M717" s="34" t="str">
        <f t="shared" si="88"/>
        <v/>
      </c>
      <c r="N717" s="34" t="str">
        <f t="shared" si="89"/>
        <v/>
      </c>
      <c r="O717" s="34" t="str">
        <f t="shared" si="86"/>
        <v/>
      </c>
      <c r="P717" s="34" t="str">
        <f>IF(A717="","",IFERROR(VLOOKUP(A717,'表3（采购界面）'!A:J,10,0),"NA"))</f>
        <v/>
      </c>
      <c r="Q717" s="34" t="str">
        <f>IF(A717="","",IFERROR(VLOOKUP(A717,'表3（采购界面）'!A:Z,11,0),"NA"))</f>
        <v/>
      </c>
      <c r="R717" s="34" t="str">
        <f t="shared" si="90"/>
        <v/>
      </c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</row>
    <row r="718" spans="10:33" x14ac:dyDescent="0.2">
      <c r="J718" s="34"/>
      <c r="K718" s="34" t="str">
        <f t="shared" si="87"/>
        <v/>
      </c>
      <c r="L718" s="34" t="str">
        <f t="shared" si="85"/>
        <v/>
      </c>
      <c r="M718" s="34" t="str">
        <f t="shared" si="88"/>
        <v/>
      </c>
      <c r="N718" s="34" t="str">
        <f t="shared" si="89"/>
        <v/>
      </c>
      <c r="O718" s="34" t="str">
        <f t="shared" si="86"/>
        <v/>
      </c>
      <c r="P718" s="34" t="str">
        <f>IF(A718="","",IFERROR(VLOOKUP(A718,'表3（采购界面）'!A:J,10,0),"NA"))</f>
        <v/>
      </c>
      <c r="Q718" s="34" t="str">
        <f>IF(A718="","",IFERROR(VLOOKUP(A718,'表3（采购界面）'!A:Z,11,0),"NA"))</f>
        <v/>
      </c>
      <c r="R718" s="34" t="str">
        <f t="shared" si="90"/>
        <v/>
      </c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</row>
    <row r="719" spans="10:33" x14ac:dyDescent="0.2">
      <c r="J719" s="34"/>
      <c r="K719" s="34" t="str">
        <f t="shared" si="87"/>
        <v/>
      </c>
      <c r="L719" s="34" t="str">
        <f t="shared" si="85"/>
        <v/>
      </c>
      <c r="M719" s="34" t="str">
        <f t="shared" si="88"/>
        <v/>
      </c>
      <c r="N719" s="34" t="str">
        <f t="shared" si="89"/>
        <v/>
      </c>
      <c r="O719" s="34" t="str">
        <f t="shared" si="86"/>
        <v/>
      </c>
      <c r="P719" s="34" t="str">
        <f>IF(A719="","",IFERROR(VLOOKUP(A719,'表3（采购界面）'!A:J,10,0),"NA"))</f>
        <v/>
      </c>
      <c r="Q719" s="34" t="str">
        <f>IF(A719="","",IFERROR(VLOOKUP(A719,'表3（采购界面）'!A:Z,11,0),"NA"))</f>
        <v/>
      </c>
      <c r="R719" s="34" t="str">
        <f t="shared" si="90"/>
        <v/>
      </c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</row>
    <row r="720" spans="10:33" x14ac:dyDescent="0.2">
      <c r="J720" s="34"/>
      <c r="K720" s="34" t="str">
        <f t="shared" si="87"/>
        <v/>
      </c>
      <c r="L720" s="34" t="str">
        <f t="shared" si="85"/>
        <v/>
      </c>
      <c r="M720" s="34" t="str">
        <f t="shared" si="88"/>
        <v/>
      </c>
      <c r="N720" s="34" t="str">
        <f t="shared" si="89"/>
        <v/>
      </c>
      <c r="O720" s="34" t="str">
        <f t="shared" si="86"/>
        <v/>
      </c>
      <c r="P720" s="34" t="str">
        <f>IF(A720="","",IFERROR(VLOOKUP(A720,'表3（采购界面）'!A:J,10,0),"NA"))</f>
        <v/>
      </c>
      <c r="Q720" s="34" t="str">
        <f>IF(A720="","",IFERROR(VLOOKUP(A720,'表3（采购界面）'!A:Z,11,0),"NA"))</f>
        <v/>
      </c>
      <c r="R720" s="34" t="str">
        <f t="shared" si="90"/>
        <v/>
      </c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</row>
    <row r="721" spans="10:33" x14ac:dyDescent="0.2">
      <c r="J721" s="34"/>
      <c r="K721" s="34" t="str">
        <f t="shared" si="87"/>
        <v/>
      </c>
      <c r="L721" s="34" t="str">
        <f t="shared" si="85"/>
        <v/>
      </c>
      <c r="M721" s="34" t="str">
        <f t="shared" si="88"/>
        <v/>
      </c>
      <c r="N721" s="34" t="str">
        <f t="shared" si="89"/>
        <v/>
      </c>
      <c r="O721" s="34" t="str">
        <f t="shared" si="86"/>
        <v/>
      </c>
      <c r="P721" s="34" t="str">
        <f>IF(A721="","",IFERROR(VLOOKUP(A721,'表3（采购界面）'!A:J,10,0),"NA"))</f>
        <v/>
      </c>
      <c r="Q721" s="34" t="str">
        <f>IF(A721="","",IFERROR(VLOOKUP(A721,'表3（采购界面）'!A:Z,11,0),"NA"))</f>
        <v/>
      </c>
      <c r="R721" s="34" t="str">
        <f t="shared" si="90"/>
        <v/>
      </c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</row>
    <row r="722" spans="10:33" x14ac:dyDescent="0.2">
      <c r="J722" s="34"/>
      <c r="K722" s="34" t="str">
        <f t="shared" si="87"/>
        <v/>
      </c>
      <c r="L722" s="34" t="str">
        <f t="shared" si="85"/>
        <v/>
      </c>
      <c r="M722" s="34" t="str">
        <f t="shared" si="88"/>
        <v/>
      </c>
      <c r="N722" s="34" t="str">
        <f t="shared" si="89"/>
        <v/>
      </c>
      <c r="O722" s="34" t="str">
        <f t="shared" si="86"/>
        <v/>
      </c>
      <c r="P722" s="34" t="str">
        <f>IF(A722="","",IFERROR(VLOOKUP(A722,'表3（采购界面）'!A:J,10,0),"NA"))</f>
        <v/>
      </c>
      <c r="Q722" s="34" t="str">
        <f>IF(A722="","",IFERROR(VLOOKUP(A722,'表3（采购界面）'!A:Z,11,0),"NA"))</f>
        <v/>
      </c>
      <c r="R722" s="34" t="str">
        <f t="shared" si="90"/>
        <v/>
      </c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</row>
    <row r="723" spans="10:33" x14ac:dyDescent="0.2">
      <c r="J723" s="34"/>
      <c r="K723" s="34" t="str">
        <f t="shared" si="87"/>
        <v/>
      </c>
      <c r="L723" s="34" t="str">
        <f t="shared" si="85"/>
        <v/>
      </c>
      <c r="M723" s="34" t="str">
        <f t="shared" si="88"/>
        <v/>
      </c>
      <c r="N723" s="34" t="str">
        <f t="shared" si="89"/>
        <v/>
      </c>
      <c r="O723" s="34" t="str">
        <f t="shared" si="86"/>
        <v/>
      </c>
      <c r="P723" s="34" t="str">
        <f>IF(A723="","",IFERROR(VLOOKUP(A723,'表3（采购界面）'!A:J,10,0),"NA"))</f>
        <v/>
      </c>
      <c r="Q723" s="34" t="str">
        <f>IF(A723="","",IFERROR(VLOOKUP(A723,'表3（采购界面）'!A:Z,11,0),"NA"))</f>
        <v/>
      </c>
      <c r="R723" s="34" t="str">
        <f t="shared" si="90"/>
        <v/>
      </c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</row>
    <row r="724" spans="10:33" x14ac:dyDescent="0.2">
      <c r="J724" s="34"/>
      <c r="K724" s="34" t="str">
        <f t="shared" si="87"/>
        <v/>
      </c>
      <c r="L724" s="34" t="str">
        <f t="shared" si="85"/>
        <v/>
      </c>
      <c r="M724" s="34" t="str">
        <f t="shared" si="88"/>
        <v/>
      </c>
      <c r="N724" s="34" t="str">
        <f t="shared" si="89"/>
        <v/>
      </c>
      <c r="O724" s="34" t="str">
        <f t="shared" si="86"/>
        <v/>
      </c>
      <c r="P724" s="34" t="str">
        <f>IF(A724="","",IFERROR(VLOOKUP(A724,'表3（采购界面）'!A:J,10,0),"NA"))</f>
        <v/>
      </c>
      <c r="Q724" s="34" t="str">
        <f>IF(A724="","",IFERROR(VLOOKUP(A724,'表3（采购界面）'!A:Z,11,0),"NA"))</f>
        <v/>
      </c>
      <c r="R724" s="34" t="str">
        <f t="shared" si="90"/>
        <v/>
      </c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</row>
    <row r="725" spans="10:33" x14ac:dyDescent="0.2">
      <c r="J725" s="34"/>
      <c r="K725" s="34" t="str">
        <f t="shared" si="87"/>
        <v/>
      </c>
      <c r="L725" s="34" t="str">
        <f t="shared" si="85"/>
        <v/>
      </c>
      <c r="M725" s="34" t="str">
        <f t="shared" si="88"/>
        <v/>
      </c>
      <c r="N725" s="34" t="str">
        <f t="shared" si="89"/>
        <v/>
      </c>
      <c r="O725" s="34" t="str">
        <f t="shared" si="86"/>
        <v/>
      </c>
      <c r="P725" s="34" t="str">
        <f>IF(A725="","",IFERROR(VLOOKUP(A725,'表3（采购界面）'!A:J,10,0),"NA"))</f>
        <v/>
      </c>
      <c r="Q725" s="34" t="str">
        <f>IF(A725="","",IFERROR(VLOOKUP(A725,'表3（采购界面）'!A:Z,11,0),"NA"))</f>
        <v/>
      </c>
      <c r="R725" s="34" t="str">
        <f t="shared" si="90"/>
        <v/>
      </c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</row>
    <row r="726" spans="10:33" x14ac:dyDescent="0.2">
      <c r="J726" s="34"/>
      <c r="K726" s="34" t="str">
        <f t="shared" si="87"/>
        <v/>
      </c>
      <c r="L726" s="34" t="str">
        <f t="shared" si="85"/>
        <v/>
      </c>
      <c r="M726" s="34" t="str">
        <f t="shared" si="88"/>
        <v/>
      </c>
      <c r="N726" s="34" t="str">
        <f t="shared" si="89"/>
        <v/>
      </c>
      <c r="O726" s="34" t="str">
        <f t="shared" si="86"/>
        <v/>
      </c>
      <c r="P726" s="34" t="str">
        <f>IF(A726="","",IFERROR(VLOOKUP(A726,'表3（采购界面）'!A:J,10,0),"NA"))</f>
        <v/>
      </c>
      <c r="Q726" s="34" t="str">
        <f>IF(A726="","",IFERROR(VLOOKUP(A726,'表3（采购界面）'!A:Z,11,0),"NA"))</f>
        <v/>
      </c>
      <c r="R726" s="34" t="str">
        <f t="shared" si="90"/>
        <v/>
      </c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</row>
    <row r="727" spans="10:33" x14ac:dyDescent="0.2">
      <c r="J727" s="34"/>
      <c r="K727" s="34" t="str">
        <f t="shared" si="87"/>
        <v/>
      </c>
      <c r="L727" s="34" t="str">
        <f t="shared" si="85"/>
        <v/>
      </c>
      <c r="M727" s="34" t="str">
        <f t="shared" si="88"/>
        <v/>
      </c>
      <c r="N727" s="34" t="str">
        <f t="shared" si="89"/>
        <v/>
      </c>
      <c r="O727" s="34" t="str">
        <f t="shared" si="86"/>
        <v/>
      </c>
      <c r="P727" s="34" t="str">
        <f>IF(A727="","",IFERROR(VLOOKUP(A727,'表3（采购界面）'!A:J,10,0),"NA"))</f>
        <v/>
      </c>
      <c r="Q727" s="34" t="str">
        <f>IF(A727="","",IFERROR(VLOOKUP(A727,'表3（采购界面）'!A:Z,11,0),"NA"))</f>
        <v/>
      </c>
      <c r="R727" s="34" t="str">
        <f t="shared" si="90"/>
        <v/>
      </c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</row>
    <row r="728" spans="10:33" x14ac:dyDescent="0.2">
      <c r="J728" s="34"/>
      <c r="K728" s="34" t="str">
        <f t="shared" si="87"/>
        <v/>
      </c>
      <c r="L728" s="34" t="str">
        <f t="shared" si="85"/>
        <v/>
      </c>
      <c r="M728" s="34" t="str">
        <f t="shared" si="88"/>
        <v/>
      </c>
      <c r="N728" s="34" t="str">
        <f t="shared" si="89"/>
        <v/>
      </c>
      <c r="O728" s="34" t="str">
        <f t="shared" si="86"/>
        <v/>
      </c>
      <c r="P728" s="34" t="str">
        <f>IF(A728="","",IFERROR(VLOOKUP(A728,'表3（采购界面）'!A:J,10,0),"NA"))</f>
        <v/>
      </c>
      <c r="Q728" s="34" t="str">
        <f>IF(A728="","",IFERROR(VLOOKUP(A728,'表3（采购界面）'!A:Z,11,0),"NA"))</f>
        <v/>
      </c>
      <c r="R728" s="34" t="str">
        <f t="shared" si="90"/>
        <v/>
      </c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</row>
    <row r="729" spans="10:33" x14ac:dyDescent="0.2">
      <c r="J729" s="34"/>
      <c r="K729" s="34" t="str">
        <f t="shared" si="87"/>
        <v/>
      </c>
      <c r="L729" s="34" t="str">
        <f t="shared" si="85"/>
        <v/>
      </c>
      <c r="M729" s="34" t="str">
        <f t="shared" si="88"/>
        <v/>
      </c>
      <c r="N729" s="34" t="str">
        <f t="shared" si="89"/>
        <v/>
      </c>
      <c r="O729" s="34" t="str">
        <f t="shared" si="86"/>
        <v/>
      </c>
      <c r="P729" s="34" t="str">
        <f>IF(A729="","",IFERROR(VLOOKUP(A729,'表3（采购界面）'!A:J,10,0),"NA"))</f>
        <v/>
      </c>
      <c r="Q729" s="34" t="str">
        <f>IF(A729="","",IFERROR(VLOOKUP(A729,'表3（采购界面）'!A:Z,11,0),"NA"))</f>
        <v/>
      </c>
      <c r="R729" s="34" t="str">
        <f t="shared" si="90"/>
        <v/>
      </c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</row>
    <row r="730" spans="10:33" x14ac:dyDescent="0.2">
      <c r="J730" s="34"/>
      <c r="K730" s="34" t="str">
        <f t="shared" si="87"/>
        <v/>
      </c>
      <c r="L730" s="34" t="str">
        <f t="shared" si="85"/>
        <v/>
      </c>
      <c r="M730" s="34" t="str">
        <f t="shared" si="88"/>
        <v/>
      </c>
      <c r="N730" s="34" t="str">
        <f t="shared" si="89"/>
        <v/>
      </c>
      <c r="O730" s="34" t="str">
        <f t="shared" si="86"/>
        <v/>
      </c>
      <c r="P730" s="34" t="str">
        <f>IF(A730="","",IFERROR(VLOOKUP(A730,'表3（采购界面）'!A:J,10,0),"NA"))</f>
        <v/>
      </c>
      <c r="Q730" s="34" t="str">
        <f>IF(A730="","",IFERROR(VLOOKUP(A730,'表3（采购界面）'!A:Z,11,0),"NA"))</f>
        <v/>
      </c>
      <c r="R730" s="34" t="str">
        <f t="shared" si="90"/>
        <v/>
      </c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</row>
    <row r="731" spans="10:33" x14ac:dyDescent="0.2">
      <c r="J731" s="34"/>
      <c r="K731" s="34" t="str">
        <f t="shared" si="87"/>
        <v/>
      </c>
      <c r="L731" s="34" t="str">
        <f t="shared" si="85"/>
        <v/>
      </c>
      <c r="M731" s="34" t="str">
        <f t="shared" si="88"/>
        <v/>
      </c>
      <c r="N731" s="34" t="str">
        <f t="shared" si="89"/>
        <v/>
      </c>
      <c r="O731" s="34" t="str">
        <f t="shared" si="86"/>
        <v/>
      </c>
      <c r="P731" s="34" t="str">
        <f>IF(A731="","",IFERROR(VLOOKUP(A731,'表3（采购界面）'!A:J,10,0),"NA"))</f>
        <v/>
      </c>
      <c r="Q731" s="34" t="str">
        <f>IF(A731="","",IFERROR(VLOOKUP(A731,'表3（采购界面）'!A:Z,11,0),"NA"))</f>
        <v/>
      </c>
      <c r="R731" s="34" t="str">
        <f t="shared" si="90"/>
        <v/>
      </c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</row>
    <row r="732" spans="10:33" x14ac:dyDescent="0.2">
      <c r="J732" s="34"/>
      <c r="K732" s="34" t="str">
        <f t="shared" si="87"/>
        <v/>
      </c>
      <c r="L732" s="34" t="str">
        <f t="shared" si="85"/>
        <v/>
      </c>
      <c r="M732" s="34" t="str">
        <f t="shared" si="88"/>
        <v/>
      </c>
      <c r="N732" s="34" t="str">
        <f t="shared" si="89"/>
        <v/>
      </c>
      <c r="O732" s="34" t="str">
        <f t="shared" si="86"/>
        <v/>
      </c>
      <c r="P732" s="34" t="str">
        <f>IF(A732="","",IFERROR(VLOOKUP(A732,'表3（采购界面）'!A:J,10,0),"NA"))</f>
        <v/>
      </c>
      <c r="Q732" s="34" t="str">
        <f>IF(A732="","",IFERROR(VLOOKUP(A732,'表3（采购界面）'!A:Z,11,0),"NA"))</f>
        <v/>
      </c>
      <c r="R732" s="34" t="str">
        <f t="shared" si="90"/>
        <v/>
      </c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</row>
    <row r="733" spans="10:33" x14ac:dyDescent="0.2">
      <c r="J733" s="34"/>
      <c r="K733" s="34" t="str">
        <f t="shared" si="87"/>
        <v/>
      </c>
      <c r="L733" s="34" t="str">
        <f t="shared" si="85"/>
        <v/>
      </c>
      <c r="M733" s="34" t="str">
        <f t="shared" si="88"/>
        <v/>
      </c>
      <c r="N733" s="34" t="str">
        <f t="shared" si="89"/>
        <v/>
      </c>
      <c r="O733" s="34" t="str">
        <f t="shared" si="86"/>
        <v/>
      </c>
      <c r="P733" s="34" t="str">
        <f>IF(A733="","",IFERROR(VLOOKUP(A733,'表3（采购界面）'!A:J,10,0),"NA"))</f>
        <v/>
      </c>
      <c r="Q733" s="34" t="str">
        <f>IF(A733="","",IFERROR(VLOOKUP(A733,'表3（采购界面）'!A:Z,11,0),"NA"))</f>
        <v/>
      </c>
      <c r="R733" s="34" t="str">
        <f t="shared" si="90"/>
        <v/>
      </c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</row>
    <row r="734" spans="10:33" x14ac:dyDescent="0.2">
      <c r="J734" s="34"/>
      <c r="K734" s="34" t="str">
        <f t="shared" si="87"/>
        <v/>
      </c>
      <c r="L734" s="34" t="str">
        <f t="shared" si="85"/>
        <v/>
      </c>
      <c r="M734" s="34" t="str">
        <f t="shared" si="88"/>
        <v/>
      </c>
      <c r="N734" s="34" t="str">
        <f t="shared" si="89"/>
        <v/>
      </c>
      <c r="O734" s="34" t="str">
        <f t="shared" si="86"/>
        <v/>
      </c>
      <c r="P734" s="34" t="str">
        <f>IF(A734="","",IFERROR(VLOOKUP(A734,'表3（采购界面）'!A:J,10,0),"NA"))</f>
        <v/>
      </c>
      <c r="Q734" s="34" t="str">
        <f>IF(A734="","",IFERROR(VLOOKUP(A734,'表3（采购界面）'!A:Z,11,0),"NA"))</f>
        <v/>
      </c>
      <c r="R734" s="34" t="str">
        <f t="shared" si="90"/>
        <v/>
      </c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</row>
    <row r="735" spans="10:33" x14ac:dyDescent="0.2">
      <c r="J735" s="34"/>
      <c r="K735" s="34" t="str">
        <f t="shared" si="87"/>
        <v/>
      </c>
      <c r="L735" s="34" t="str">
        <f t="shared" si="85"/>
        <v/>
      </c>
      <c r="M735" s="34" t="str">
        <f t="shared" si="88"/>
        <v/>
      </c>
      <c r="N735" s="34" t="str">
        <f t="shared" si="89"/>
        <v/>
      </c>
      <c r="O735" s="34" t="str">
        <f t="shared" si="86"/>
        <v/>
      </c>
      <c r="P735" s="34" t="str">
        <f>IF(A735="","",IFERROR(VLOOKUP(A735,'表3（采购界面）'!A:J,10,0),"NA"))</f>
        <v/>
      </c>
      <c r="Q735" s="34" t="str">
        <f>IF(A735="","",IFERROR(VLOOKUP(A735,'表3（采购界面）'!A:Z,11,0),"NA"))</f>
        <v/>
      </c>
      <c r="R735" s="34" t="str">
        <f t="shared" si="90"/>
        <v/>
      </c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</row>
    <row r="736" spans="10:33" x14ac:dyDescent="0.2">
      <c r="J736" s="34"/>
      <c r="K736" s="34" t="str">
        <f t="shared" si="87"/>
        <v/>
      </c>
      <c r="L736" s="34" t="str">
        <f t="shared" si="85"/>
        <v/>
      </c>
      <c r="M736" s="34" t="str">
        <f t="shared" si="88"/>
        <v/>
      </c>
      <c r="N736" s="34" t="str">
        <f t="shared" si="89"/>
        <v/>
      </c>
      <c r="O736" s="34" t="str">
        <f t="shared" si="86"/>
        <v/>
      </c>
      <c r="P736" s="34" t="str">
        <f>IF(A736="","",IFERROR(VLOOKUP(A736,'表3（采购界面）'!A:J,10,0),"NA"))</f>
        <v/>
      </c>
      <c r="Q736" s="34" t="str">
        <f>IF(A736="","",IFERROR(VLOOKUP(A736,'表3（采购界面）'!A:Z,11,0),"NA"))</f>
        <v/>
      </c>
      <c r="R736" s="34" t="str">
        <f t="shared" si="90"/>
        <v/>
      </c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</row>
    <row r="737" spans="10:33" x14ac:dyDescent="0.2">
      <c r="J737" s="34"/>
      <c r="K737" s="34" t="str">
        <f t="shared" si="87"/>
        <v/>
      </c>
      <c r="L737" s="34" t="str">
        <f t="shared" si="85"/>
        <v/>
      </c>
      <c r="M737" s="34" t="str">
        <f t="shared" si="88"/>
        <v/>
      </c>
      <c r="N737" s="34" t="str">
        <f t="shared" si="89"/>
        <v/>
      </c>
      <c r="O737" s="34" t="str">
        <f t="shared" si="86"/>
        <v/>
      </c>
      <c r="P737" s="34" t="str">
        <f>IF(A737="","",IFERROR(VLOOKUP(A737,'表3（采购界面）'!A:J,10,0),"NA"))</f>
        <v/>
      </c>
      <c r="Q737" s="34" t="str">
        <f>IF(A737="","",IFERROR(VLOOKUP(A737,'表3（采购界面）'!A:Z,11,0),"NA"))</f>
        <v/>
      </c>
      <c r="R737" s="34" t="str">
        <f t="shared" si="90"/>
        <v/>
      </c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</row>
    <row r="738" spans="10:33" x14ac:dyDescent="0.2">
      <c r="J738" s="34"/>
      <c r="K738" s="34" t="str">
        <f t="shared" si="87"/>
        <v/>
      </c>
      <c r="L738" s="34" t="str">
        <f t="shared" si="85"/>
        <v/>
      </c>
      <c r="M738" s="34" t="str">
        <f t="shared" si="88"/>
        <v/>
      </c>
      <c r="N738" s="34" t="str">
        <f t="shared" si="89"/>
        <v/>
      </c>
      <c r="O738" s="34" t="str">
        <f t="shared" si="86"/>
        <v/>
      </c>
      <c r="P738" s="34" t="str">
        <f>IF(A738="","",IFERROR(VLOOKUP(A738,'表3（采购界面）'!A:J,10,0),"NA"))</f>
        <v/>
      </c>
      <c r="Q738" s="34" t="str">
        <f>IF(A738="","",IFERROR(VLOOKUP(A738,'表3（采购界面）'!A:Z,11,0),"NA"))</f>
        <v/>
      </c>
      <c r="R738" s="34" t="str">
        <f t="shared" si="90"/>
        <v/>
      </c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</row>
    <row r="739" spans="10:33" x14ac:dyDescent="0.2">
      <c r="J739" s="34"/>
      <c r="K739" s="34" t="str">
        <f t="shared" si="87"/>
        <v/>
      </c>
      <c r="L739" s="34" t="str">
        <f t="shared" si="85"/>
        <v/>
      </c>
      <c r="M739" s="34" t="str">
        <f t="shared" si="88"/>
        <v/>
      </c>
      <c r="N739" s="34" t="str">
        <f t="shared" si="89"/>
        <v/>
      </c>
      <c r="O739" s="34" t="str">
        <f t="shared" si="86"/>
        <v/>
      </c>
      <c r="P739" s="34" t="str">
        <f>IF(A739="","",IFERROR(VLOOKUP(A739,'表3（采购界面）'!A:J,10,0),"NA"))</f>
        <v/>
      </c>
      <c r="Q739" s="34" t="str">
        <f>IF(A739="","",IFERROR(VLOOKUP(A739,'表3（采购界面）'!A:Z,11,0),"NA"))</f>
        <v/>
      </c>
      <c r="R739" s="34" t="str">
        <f t="shared" si="90"/>
        <v/>
      </c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</row>
    <row r="740" spans="10:33" x14ac:dyDescent="0.2">
      <c r="J740" s="34"/>
      <c r="K740" s="34" t="str">
        <f t="shared" si="87"/>
        <v/>
      </c>
      <c r="L740" s="34" t="str">
        <f t="shared" si="85"/>
        <v/>
      </c>
      <c r="M740" s="34" t="str">
        <f t="shared" si="88"/>
        <v/>
      </c>
      <c r="N740" s="34" t="str">
        <f t="shared" si="89"/>
        <v/>
      </c>
      <c r="O740" s="34" t="str">
        <f t="shared" si="86"/>
        <v/>
      </c>
      <c r="P740" s="34" t="str">
        <f>IF(A740="","",IFERROR(VLOOKUP(A740,'表3（采购界面）'!A:J,10,0),"NA"))</f>
        <v/>
      </c>
      <c r="Q740" s="34" t="str">
        <f>IF(A740="","",IFERROR(VLOOKUP(A740,'表3（采购界面）'!A:Z,11,0),"NA"))</f>
        <v/>
      </c>
      <c r="R740" s="34" t="str">
        <f t="shared" si="90"/>
        <v/>
      </c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</row>
    <row r="741" spans="10:33" x14ac:dyDescent="0.2">
      <c r="J741" s="34"/>
      <c r="K741" s="34" t="str">
        <f t="shared" si="87"/>
        <v/>
      </c>
      <c r="L741" s="34" t="str">
        <f t="shared" si="85"/>
        <v/>
      </c>
      <c r="M741" s="34" t="str">
        <f t="shared" si="88"/>
        <v/>
      </c>
      <c r="N741" s="34" t="str">
        <f t="shared" si="89"/>
        <v/>
      </c>
      <c r="O741" s="34" t="str">
        <f t="shared" si="86"/>
        <v/>
      </c>
      <c r="P741" s="34" t="str">
        <f>IF(A741="","",IFERROR(VLOOKUP(A741,'表3（采购界面）'!A:J,10,0),"NA"))</f>
        <v/>
      </c>
      <c r="Q741" s="34" t="str">
        <f>IF(A741="","",IFERROR(VLOOKUP(A741,'表3（采购界面）'!A:Z,11,0),"NA"))</f>
        <v/>
      </c>
      <c r="R741" s="34" t="str">
        <f t="shared" si="90"/>
        <v/>
      </c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</row>
    <row r="742" spans="10:33" x14ac:dyDescent="0.2">
      <c r="J742" s="34"/>
      <c r="K742" s="34" t="str">
        <f t="shared" si="87"/>
        <v/>
      </c>
      <c r="L742" s="34" t="str">
        <f t="shared" si="85"/>
        <v/>
      </c>
      <c r="M742" s="34" t="str">
        <f t="shared" si="88"/>
        <v/>
      </c>
      <c r="N742" s="34" t="str">
        <f t="shared" si="89"/>
        <v/>
      </c>
      <c r="O742" s="34" t="str">
        <f t="shared" si="86"/>
        <v/>
      </c>
      <c r="P742" s="34" t="str">
        <f>IF(A742="","",IFERROR(VLOOKUP(A742,'表3（采购界面）'!A:J,10,0),"NA"))</f>
        <v/>
      </c>
      <c r="Q742" s="34" t="str">
        <f>IF(A742="","",IFERROR(VLOOKUP(A742,'表3（采购界面）'!A:Z,11,0),"NA"))</f>
        <v/>
      </c>
      <c r="R742" s="34" t="str">
        <f t="shared" si="90"/>
        <v/>
      </c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</row>
    <row r="743" spans="10:33" x14ac:dyDescent="0.2">
      <c r="J743" s="34"/>
      <c r="K743" s="34" t="str">
        <f t="shared" si="87"/>
        <v/>
      </c>
      <c r="L743" s="34" t="str">
        <f t="shared" si="85"/>
        <v/>
      </c>
      <c r="M743" s="34" t="str">
        <f t="shared" si="88"/>
        <v/>
      </c>
      <c r="N743" s="34" t="str">
        <f t="shared" si="89"/>
        <v/>
      </c>
      <c r="O743" s="34" t="str">
        <f t="shared" si="86"/>
        <v/>
      </c>
      <c r="P743" s="34" t="str">
        <f>IF(A743="","",IFERROR(VLOOKUP(A743,'表3（采购界面）'!A:J,10,0),"NA"))</f>
        <v/>
      </c>
      <c r="Q743" s="34" t="str">
        <f>IF(A743="","",IFERROR(VLOOKUP(A743,'表3（采购界面）'!A:Z,11,0),"NA"))</f>
        <v/>
      </c>
      <c r="R743" s="34" t="str">
        <f t="shared" si="90"/>
        <v/>
      </c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</row>
    <row r="744" spans="10:33" x14ac:dyDescent="0.2">
      <c r="J744" s="34"/>
      <c r="K744" s="34" t="str">
        <f t="shared" si="87"/>
        <v/>
      </c>
      <c r="L744" s="34" t="str">
        <f t="shared" si="85"/>
        <v/>
      </c>
      <c r="M744" s="34" t="str">
        <f t="shared" si="88"/>
        <v/>
      </c>
      <c r="N744" s="34" t="str">
        <f t="shared" si="89"/>
        <v/>
      </c>
      <c r="O744" s="34" t="str">
        <f t="shared" si="86"/>
        <v/>
      </c>
      <c r="P744" s="34" t="str">
        <f>IF(A744="","",IFERROR(VLOOKUP(A744,'表3（采购界面）'!A:J,10,0),"NA"))</f>
        <v/>
      </c>
      <c r="Q744" s="34" t="str">
        <f>IF(A744="","",IFERROR(VLOOKUP(A744,'表3（采购界面）'!A:Z,11,0),"NA"))</f>
        <v/>
      </c>
      <c r="R744" s="34" t="str">
        <f t="shared" si="90"/>
        <v/>
      </c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</row>
    <row r="745" spans="10:33" x14ac:dyDescent="0.2">
      <c r="J745" s="34"/>
      <c r="K745" s="34" t="str">
        <f t="shared" si="87"/>
        <v/>
      </c>
      <c r="L745" s="34" t="str">
        <f t="shared" si="85"/>
        <v/>
      </c>
      <c r="M745" s="34" t="str">
        <f t="shared" si="88"/>
        <v/>
      </c>
      <c r="N745" s="34" t="str">
        <f t="shared" si="89"/>
        <v/>
      </c>
      <c r="O745" s="34" t="str">
        <f t="shared" si="86"/>
        <v/>
      </c>
      <c r="P745" s="34" t="str">
        <f>IF(A745="","",IFERROR(VLOOKUP(A745,'表3（采购界面）'!A:J,10,0),"NA"))</f>
        <v/>
      </c>
      <c r="Q745" s="34" t="str">
        <f>IF(A745="","",IFERROR(VLOOKUP(A745,'表3（采购界面）'!A:Z,11,0),"NA"))</f>
        <v/>
      </c>
      <c r="R745" s="34" t="str">
        <f t="shared" si="90"/>
        <v/>
      </c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</row>
    <row r="746" spans="10:33" x14ac:dyDescent="0.2">
      <c r="J746" s="34"/>
      <c r="K746" s="34" t="str">
        <f t="shared" si="87"/>
        <v/>
      </c>
      <c r="L746" s="34" t="str">
        <f t="shared" si="85"/>
        <v/>
      </c>
      <c r="M746" s="34" t="str">
        <f t="shared" si="88"/>
        <v/>
      </c>
      <c r="N746" s="34" t="str">
        <f t="shared" si="89"/>
        <v/>
      </c>
      <c r="O746" s="34" t="str">
        <f t="shared" si="86"/>
        <v/>
      </c>
      <c r="P746" s="34" t="str">
        <f>IF(A746="","",IFERROR(VLOOKUP(A746,'表3（采购界面）'!A:J,10,0),"NA"))</f>
        <v/>
      </c>
      <c r="Q746" s="34" t="str">
        <f>IF(A746="","",IFERROR(VLOOKUP(A746,'表3（采购界面）'!A:Z,11,0),"NA"))</f>
        <v/>
      </c>
      <c r="R746" s="34" t="str">
        <f t="shared" si="90"/>
        <v/>
      </c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</row>
    <row r="747" spans="10:33" x14ac:dyDescent="0.2">
      <c r="J747" s="34"/>
      <c r="K747" s="34" t="str">
        <f t="shared" si="87"/>
        <v/>
      </c>
      <c r="L747" s="34" t="str">
        <f t="shared" si="85"/>
        <v/>
      </c>
      <c r="M747" s="34" t="str">
        <f t="shared" si="88"/>
        <v/>
      </c>
      <c r="N747" s="34" t="str">
        <f t="shared" si="89"/>
        <v/>
      </c>
      <c r="O747" s="34" t="str">
        <f t="shared" si="86"/>
        <v/>
      </c>
      <c r="P747" s="34" t="str">
        <f>IF(A747="","",IFERROR(VLOOKUP(A747,'表3（采购界面）'!A:J,10,0),"NA"))</f>
        <v/>
      </c>
      <c r="Q747" s="34" t="str">
        <f>IF(A747="","",IFERROR(VLOOKUP(A747,'表3（采购界面）'!A:Z,11,0),"NA"))</f>
        <v/>
      </c>
      <c r="R747" s="34" t="str">
        <f t="shared" si="90"/>
        <v/>
      </c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</row>
    <row r="748" spans="10:33" x14ac:dyDescent="0.2">
      <c r="J748" s="34"/>
      <c r="K748" s="34" t="str">
        <f t="shared" si="87"/>
        <v/>
      </c>
      <c r="L748" s="34" t="str">
        <f t="shared" si="85"/>
        <v/>
      </c>
      <c r="M748" s="34" t="str">
        <f t="shared" si="88"/>
        <v/>
      </c>
      <c r="N748" s="34" t="str">
        <f t="shared" si="89"/>
        <v/>
      </c>
      <c r="O748" s="34" t="str">
        <f t="shared" si="86"/>
        <v/>
      </c>
      <c r="P748" s="34" t="str">
        <f>IF(A748="","",IFERROR(VLOOKUP(A748,'表3（采购界面）'!A:J,10,0),"NA"))</f>
        <v/>
      </c>
      <c r="Q748" s="34" t="str">
        <f>IF(A748="","",IFERROR(VLOOKUP(A748,'表3（采购界面）'!A:Z,11,0),"NA"))</f>
        <v/>
      </c>
      <c r="R748" s="34" t="str">
        <f t="shared" si="90"/>
        <v/>
      </c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</row>
    <row r="749" spans="10:33" x14ac:dyDescent="0.2">
      <c r="J749" s="34"/>
      <c r="K749" s="34" t="str">
        <f t="shared" si="87"/>
        <v/>
      </c>
      <c r="L749" s="34" t="str">
        <f t="shared" si="85"/>
        <v/>
      </c>
      <c r="M749" s="34" t="str">
        <f t="shared" si="88"/>
        <v/>
      </c>
      <c r="N749" s="34" t="str">
        <f t="shared" si="89"/>
        <v/>
      </c>
      <c r="O749" s="34" t="str">
        <f t="shared" si="86"/>
        <v/>
      </c>
      <c r="P749" s="34" t="str">
        <f>IF(A749="","",IFERROR(VLOOKUP(A749,'表3（采购界面）'!A:J,10,0),"NA"))</f>
        <v/>
      </c>
      <c r="Q749" s="34" t="str">
        <f>IF(A749="","",IFERROR(VLOOKUP(A749,'表3（采购界面）'!A:Z,11,0),"NA"))</f>
        <v/>
      </c>
      <c r="R749" s="34" t="str">
        <f t="shared" si="90"/>
        <v/>
      </c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</row>
    <row r="750" spans="10:33" x14ac:dyDescent="0.2">
      <c r="J750" s="34"/>
      <c r="K750" s="34" t="str">
        <f t="shared" si="87"/>
        <v/>
      </c>
      <c r="L750" s="34" t="str">
        <f t="shared" si="85"/>
        <v/>
      </c>
      <c r="M750" s="34" t="str">
        <f t="shared" si="88"/>
        <v/>
      </c>
      <c r="N750" s="34" t="str">
        <f t="shared" si="89"/>
        <v/>
      </c>
      <c r="O750" s="34" t="str">
        <f t="shared" si="86"/>
        <v/>
      </c>
      <c r="P750" s="34" t="str">
        <f>IF(A750="","",IFERROR(VLOOKUP(A750,'表3（采购界面）'!A:J,10,0),"NA"))</f>
        <v/>
      </c>
      <c r="Q750" s="34" t="str">
        <f>IF(A750="","",IFERROR(VLOOKUP(A750,'表3（采购界面）'!A:Z,11,0),"NA"))</f>
        <v/>
      </c>
      <c r="R750" s="34" t="str">
        <f t="shared" si="90"/>
        <v/>
      </c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</row>
    <row r="751" spans="10:33" x14ac:dyDescent="0.2">
      <c r="J751" s="34"/>
      <c r="K751" s="34" t="str">
        <f t="shared" si="87"/>
        <v/>
      </c>
      <c r="L751" s="34" t="str">
        <f t="shared" si="85"/>
        <v/>
      </c>
      <c r="M751" s="34" t="str">
        <f t="shared" si="88"/>
        <v/>
      </c>
      <c r="N751" s="34" t="str">
        <f t="shared" si="89"/>
        <v/>
      </c>
      <c r="O751" s="34" t="str">
        <f t="shared" si="86"/>
        <v/>
      </c>
      <c r="P751" s="34" t="str">
        <f>IF(A751="","",IFERROR(VLOOKUP(A751,'表3（采购界面）'!A:J,10,0),"NA"))</f>
        <v/>
      </c>
      <c r="Q751" s="34" t="str">
        <f>IF(A751="","",IFERROR(VLOOKUP(A751,'表3（采购界面）'!A:Z,11,0),"NA"))</f>
        <v/>
      </c>
      <c r="R751" s="34" t="str">
        <f t="shared" si="90"/>
        <v/>
      </c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</row>
    <row r="752" spans="10:33" x14ac:dyDescent="0.2">
      <c r="J752" s="34"/>
      <c r="K752" s="34" t="str">
        <f t="shared" si="87"/>
        <v/>
      </c>
      <c r="L752" s="34" t="str">
        <f t="shared" si="85"/>
        <v/>
      </c>
      <c r="M752" s="34" t="str">
        <f t="shared" si="88"/>
        <v/>
      </c>
      <c r="N752" s="34" t="str">
        <f t="shared" si="89"/>
        <v/>
      </c>
      <c r="O752" s="34" t="str">
        <f t="shared" si="86"/>
        <v/>
      </c>
      <c r="P752" s="34" t="str">
        <f>IF(A752="","",IFERROR(VLOOKUP(A752,'表3（采购界面）'!A:J,10,0),"NA"))</f>
        <v/>
      </c>
      <c r="Q752" s="34" t="str">
        <f>IF(A752="","",IFERROR(VLOOKUP(A752,'表3（采购界面）'!A:Z,11,0),"NA"))</f>
        <v/>
      </c>
      <c r="R752" s="34" t="str">
        <f t="shared" si="90"/>
        <v/>
      </c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</row>
    <row r="753" spans="10:33" x14ac:dyDescent="0.2">
      <c r="J753" s="34"/>
      <c r="K753" s="34" t="str">
        <f t="shared" si="87"/>
        <v/>
      </c>
      <c r="L753" s="34" t="str">
        <f t="shared" si="85"/>
        <v/>
      </c>
      <c r="M753" s="34" t="str">
        <f t="shared" si="88"/>
        <v/>
      </c>
      <c r="N753" s="34" t="str">
        <f t="shared" si="89"/>
        <v/>
      </c>
      <c r="O753" s="34" t="str">
        <f t="shared" si="86"/>
        <v/>
      </c>
      <c r="P753" s="34" t="str">
        <f>IF(A753="","",IFERROR(VLOOKUP(A753,'表3（采购界面）'!A:J,10,0),"NA"))</f>
        <v/>
      </c>
      <c r="Q753" s="34" t="str">
        <f>IF(A753="","",IFERROR(VLOOKUP(A753,'表3（采购界面）'!A:Z,11,0),"NA"))</f>
        <v/>
      </c>
      <c r="R753" s="34" t="str">
        <f t="shared" si="90"/>
        <v/>
      </c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</row>
    <row r="754" spans="10:33" x14ac:dyDescent="0.2">
      <c r="J754" s="34"/>
      <c r="K754" s="34" t="str">
        <f t="shared" si="87"/>
        <v/>
      </c>
      <c r="L754" s="34" t="str">
        <f t="shared" si="85"/>
        <v/>
      </c>
      <c r="M754" s="34" t="str">
        <f t="shared" si="88"/>
        <v/>
      </c>
      <c r="N754" s="34" t="str">
        <f t="shared" si="89"/>
        <v/>
      </c>
      <c r="O754" s="34" t="str">
        <f t="shared" si="86"/>
        <v/>
      </c>
      <c r="P754" s="34" t="str">
        <f>IF(A754="","",IFERROR(VLOOKUP(A754,'表3（采购界面）'!A:J,10,0),"NA"))</f>
        <v/>
      </c>
      <c r="Q754" s="34" t="str">
        <f>IF(A754="","",IFERROR(VLOOKUP(A754,'表3（采购界面）'!A:Z,11,0),"NA"))</f>
        <v/>
      </c>
      <c r="R754" s="34" t="str">
        <f t="shared" si="90"/>
        <v/>
      </c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</row>
    <row r="755" spans="10:33" x14ac:dyDescent="0.2">
      <c r="J755" s="34"/>
      <c r="K755" s="34" t="str">
        <f t="shared" si="87"/>
        <v/>
      </c>
      <c r="L755" s="34" t="str">
        <f t="shared" si="85"/>
        <v/>
      </c>
      <c r="M755" s="34" t="str">
        <f t="shared" si="88"/>
        <v/>
      </c>
      <c r="N755" s="34" t="str">
        <f t="shared" si="89"/>
        <v/>
      </c>
      <c r="O755" s="34" t="str">
        <f t="shared" si="86"/>
        <v/>
      </c>
      <c r="P755" s="34" t="str">
        <f>IF(A755="","",IFERROR(VLOOKUP(A755,'表3（采购界面）'!A:J,10,0),"NA"))</f>
        <v/>
      </c>
      <c r="Q755" s="34" t="str">
        <f>IF(A755="","",IFERROR(VLOOKUP(A755,'表3（采购界面）'!A:Z,11,0),"NA"))</f>
        <v/>
      </c>
      <c r="R755" s="34" t="str">
        <f t="shared" si="90"/>
        <v/>
      </c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</row>
    <row r="756" spans="10:33" x14ac:dyDescent="0.2">
      <c r="J756" s="34"/>
      <c r="K756" s="34" t="str">
        <f t="shared" si="87"/>
        <v/>
      </c>
      <c r="L756" s="34" t="str">
        <f t="shared" si="85"/>
        <v/>
      </c>
      <c r="M756" s="34" t="str">
        <f t="shared" si="88"/>
        <v/>
      </c>
      <c r="N756" s="34" t="str">
        <f t="shared" si="89"/>
        <v/>
      </c>
      <c r="O756" s="34" t="str">
        <f t="shared" si="86"/>
        <v/>
      </c>
      <c r="P756" s="34" t="str">
        <f>IF(A756="","",IFERROR(VLOOKUP(A756,'表3（采购界面）'!A:J,10,0),"NA"))</f>
        <v/>
      </c>
      <c r="Q756" s="34" t="str">
        <f>IF(A756="","",IFERROR(VLOOKUP(A756,'表3（采购界面）'!A:Z,11,0),"NA"))</f>
        <v/>
      </c>
      <c r="R756" s="34" t="str">
        <f t="shared" si="90"/>
        <v/>
      </c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</row>
    <row r="757" spans="10:33" x14ac:dyDescent="0.2">
      <c r="J757" s="34"/>
      <c r="K757" s="34" t="str">
        <f t="shared" si="87"/>
        <v/>
      </c>
      <c r="L757" s="34" t="str">
        <f t="shared" si="85"/>
        <v/>
      </c>
      <c r="M757" s="34" t="str">
        <f t="shared" si="88"/>
        <v/>
      </c>
      <c r="N757" s="34" t="str">
        <f t="shared" si="89"/>
        <v/>
      </c>
      <c r="O757" s="34" t="str">
        <f t="shared" si="86"/>
        <v/>
      </c>
      <c r="P757" s="34" t="str">
        <f>IF(A757="","",IFERROR(VLOOKUP(A757,'表3（采购界面）'!A:J,10,0),"NA"))</f>
        <v/>
      </c>
      <c r="Q757" s="34" t="str">
        <f>IF(A757="","",IFERROR(VLOOKUP(A757,'表3（采购界面）'!A:Z,11,0),"NA"))</f>
        <v/>
      </c>
      <c r="R757" s="34" t="str">
        <f t="shared" si="90"/>
        <v/>
      </c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</row>
    <row r="758" spans="10:33" x14ac:dyDescent="0.2">
      <c r="J758" s="34"/>
      <c r="K758" s="34" t="str">
        <f t="shared" si="87"/>
        <v/>
      </c>
      <c r="L758" s="34" t="str">
        <f t="shared" si="85"/>
        <v/>
      </c>
      <c r="M758" s="34" t="str">
        <f t="shared" si="88"/>
        <v/>
      </c>
      <c r="N758" s="34" t="str">
        <f t="shared" si="89"/>
        <v/>
      </c>
      <c r="O758" s="34" t="str">
        <f t="shared" si="86"/>
        <v/>
      </c>
      <c r="P758" s="34" t="str">
        <f>IF(A758="","",IFERROR(VLOOKUP(A758,'表3（采购界面）'!A:J,10,0),"NA"))</f>
        <v/>
      </c>
      <c r="Q758" s="34" t="str">
        <f>IF(A758="","",IFERROR(VLOOKUP(A758,'表3（采购界面）'!A:Z,11,0),"NA"))</f>
        <v/>
      </c>
      <c r="R758" s="34" t="str">
        <f t="shared" si="90"/>
        <v/>
      </c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</row>
    <row r="759" spans="10:33" x14ac:dyDescent="0.2">
      <c r="J759" s="34"/>
      <c r="K759" s="34" t="str">
        <f t="shared" si="87"/>
        <v/>
      </c>
      <c r="L759" s="34" t="str">
        <f t="shared" si="85"/>
        <v/>
      </c>
      <c r="M759" s="34" t="str">
        <f t="shared" si="88"/>
        <v/>
      </c>
      <c r="N759" s="34" t="str">
        <f t="shared" si="89"/>
        <v/>
      </c>
      <c r="O759" s="34" t="str">
        <f t="shared" si="86"/>
        <v/>
      </c>
      <c r="P759" s="34" t="str">
        <f>IF(A759="","",IFERROR(VLOOKUP(A759,'表3（采购界面）'!A:J,10,0),"NA"))</f>
        <v/>
      </c>
      <c r="Q759" s="34" t="str">
        <f>IF(A759="","",IFERROR(VLOOKUP(A759,'表3（采购界面）'!A:Z,11,0),"NA"))</f>
        <v/>
      </c>
      <c r="R759" s="34" t="str">
        <f t="shared" si="90"/>
        <v/>
      </c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</row>
    <row r="760" spans="10:33" x14ac:dyDescent="0.2">
      <c r="J760" s="34"/>
      <c r="K760" s="34" t="str">
        <f t="shared" si="87"/>
        <v/>
      </c>
      <c r="L760" s="34" t="str">
        <f t="shared" si="85"/>
        <v/>
      </c>
      <c r="M760" s="34" t="str">
        <f t="shared" si="88"/>
        <v/>
      </c>
      <c r="N760" s="34" t="str">
        <f t="shared" si="89"/>
        <v/>
      </c>
      <c r="O760" s="34" t="str">
        <f t="shared" si="86"/>
        <v/>
      </c>
      <c r="P760" s="34" t="str">
        <f>IF(A760="","",IFERROR(VLOOKUP(A760,'表3（采购界面）'!A:J,10,0),"NA"))</f>
        <v/>
      </c>
      <c r="Q760" s="34" t="str">
        <f>IF(A760="","",IFERROR(VLOOKUP(A760,'表3（采购界面）'!A:Z,11,0),"NA"))</f>
        <v/>
      </c>
      <c r="R760" s="34" t="str">
        <f t="shared" si="90"/>
        <v/>
      </c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</row>
    <row r="761" spans="10:33" x14ac:dyDescent="0.2">
      <c r="J761" s="34"/>
      <c r="K761" s="34" t="str">
        <f t="shared" si="87"/>
        <v/>
      </c>
      <c r="L761" s="34" t="str">
        <f t="shared" si="85"/>
        <v/>
      </c>
      <c r="M761" s="34" t="str">
        <f t="shared" si="88"/>
        <v/>
      </c>
      <c r="N761" s="34" t="str">
        <f t="shared" si="89"/>
        <v/>
      </c>
      <c r="O761" s="34" t="str">
        <f t="shared" si="86"/>
        <v/>
      </c>
      <c r="P761" s="34" t="str">
        <f>IF(A761="","",IFERROR(VLOOKUP(A761,'表3（采购界面）'!A:J,10,0),"NA"))</f>
        <v/>
      </c>
      <c r="Q761" s="34" t="str">
        <f>IF(A761="","",IFERROR(VLOOKUP(A761,'表3（采购界面）'!A:Z,11,0),"NA"))</f>
        <v/>
      </c>
      <c r="R761" s="34" t="str">
        <f t="shared" si="90"/>
        <v/>
      </c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</row>
    <row r="762" spans="10:33" x14ac:dyDescent="0.2">
      <c r="J762" s="34"/>
      <c r="K762" s="34" t="str">
        <f t="shared" si="87"/>
        <v/>
      </c>
      <c r="L762" s="34" t="str">
        <f t="shared" si="85"/>
        <v/>
      </c>
      <c r="M762" s="34" t="str">
        <f t="shared" si="88"/>
        <v/>
      </c>
      <c r="N762" s="34" t="str">
        <f t="shared" si="89"/>
        <v/>
      </c>
      <c r="O762" s="34" t="str">
        <f t="shared" si="86"/>
        <v/>
      </c>
      <c r="P762" s="34" t="str">
        <f>IF(A762="","",IFERROR(VLOOKUP(A762,'表3（采购界面）'!A:J,10,0),"NA"))</f>
        <v/>
      </c>
      <c r="Q762" s="34" t="str">
        <f>IF(A762="","",IFERROR(VLOOKUP(A762,'表3（采购界面）'!A:Z,11,0),"NA"))</f>
        <v/>
      </c>
      <c r="R762" s="34" t="str">
        <f t="shared" si="90"/>
        <v/>
      </c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</row>
    <row r="763" spans="10:33" x14ac:dyDescent="0.2">
      <c r="J763" s="34"/>
      <c r="K763" s="34" t="str">
        <f t="shared" si="87"/>
        <v/>
      </c>
      <c r="L763" s="34" t="str">
        <f t="shared" si="85"/>
        <v/>
      </c>
      <c r="M763" s="34" t="str">
        <f t="shared" si="88"/>
        <v/>
      </c>
      <c r="N763" s="34" t="str">
        <f t="shared" si="89"/>
        <v/>
      </c>
      <c r="O763" s="34" t="str">
        <f t="shared" si="86"/>
        <v/>
      </c>
      <c r="P763" s="34" t="str">
        <f>IF(A763="","",IFERROR(VLOOKUP(A763,'表3（采购界面）'!A:J,10,0),"NA"))</f>
        <v/>
      </c>
      <c r="Q763" s="34" t="str">
        <f>IF(A763="","",IFERROR(VLOOKUP(A763,'表3（采购界面）'!A:Z,11,0),"NA"))</f>
        <v/>
      </c>
      <c r="R763" s="34" t="str">
        <f t="shared" si="90"/>
        <v/>
      </c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</row>
    <row r="764" spans="10:33" x14ac:dyDescent="0.2">
      <c r="J764" s="34"/>
      <c r="K764" s="34" t="str">
        <f t="shared" si="87"/>
        <v/>
      </c>
      <c r="L764" s="34" t="str">
        <f t="shared" si="85"/>
        <v/>
      </c>
      <c r="M764" s="34" t="str">
        <f t="shared" si="88"/>
        <v/>
      </c>
      <c r="N764" s="34" t="str">
        <f t="shared" si="89"/>
        <v/>
      </c>
      <c r="O764" s="34" t="str">
        <f t="shared" si="86"/>
        <v/>
      </c>
      <c r="P764" s="34" t="str">
        <f>IF(A764="","",IFERROR(VLOOKUP(A764,'表3（采购界面）'!A:J,10,0),"NA"))</f>
        <v/>
      </c>
      <c r="Q764" s="34" t="str">
        <f>IF(A764="","",IFERROR(VLOOKUP(A764,'表3（采购界面）'!A:Z,11,0),"NA"))</f>
        <v/>
      </c>
      <c r="R764" s="34" t="str">
        <f t="shared" si="90"/>
        <v/>
      </c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</row>
    <row r="765" spans="10:33" x14ac:dyDescent="0.2">
      <c r="J765" s="34"/>
      <c r="K765" s="34" t="str">
        <f t="shared" si="87"/>
        <v/>
      </c>
      <c r="L765" s="34" t="str">
        <f t="shared" si="85"/>
        <v/>
      </c>
      <c r="M765" s="34" t="str">
        <f t="shared" si="88"/>
        <v/>
      </c>
      <c r="N765" s="34" t="str">
        <f t="shared" si="89"/>
        <v/>
      </c>
      <c r="O765" s="34" t="str">
        <f t="shared" si="86"/>
        <v/>
      </c>
      <c r="P765" s="34" t="str">
        <f>IF(A765="","",IFERROR(VLOOKUP(A765,'表3（采购界面）'!A:J,10,0),"NA"))</f>
        <v/>
      </c>
      <c r="Q765" s="34" t="str">
        <f>IF(A765="","",IFERROR(VLOOKUP(A765,'表3（采购界面）'!A:Z,11,0),"NA"))</f>
        <v/>
      </c>
      <c r="R765" s="34" t="str">
        <f t="shared" si="90"/>
        <v/>
      </c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</row>
    <row r="766" spans="10:33" x14ac:dyDescent="0.2">
      <c r="J766" s="34"/>
      <c r="K766" s="34" t="str">
        <f t="shared" si="87"/>
        <v/>
      </c>
      <c r="L766" s="34" t="str">
        <f t="shared" si="85"/>
        <v/>
      </c>
      <c r="M766" s="34" t="str">
        <f t="shared" si="88"/>
        <v/>
      </c>
      <c r="N766" s="34" t="str">
        <f t="shared" si="89"/>
        <v/>
      </c>
      <c r="O766" s="34" t="str">
        <f t="shared" si="86"/>
        <v/>
      </c>
      <c r="P766" s="34" t="str">
        <f>IF(A766="","",IFERROR(VLOOKUP(A766,'表3（采购界面）'!A:J,10,0),"NA"))</f>
        <v/>
      </c>
      <c r="Q766" s="34" t="str">
        <f>IF(A766="","",IFERROR(VLOOKUP(A766,'表3（采购界面）'!A:Z,11,0),"NA"))</f>
        <v/>
      </c>
      <c r="R766" s="34" t="str">
        <f t="shared" si="90"/>
        <v/>
      </c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</row>
    <row r="767" spans="10:33" x14ac:dyDescent="0.2">
      <c r="J767" s="34"/>
      <c r="K767" s="34" t="str">
        <f t="shared" si="87"/>
        <v/>
      </c>
      <c r="L767" s="34" t="str">
        <f t="shared" si="85"/>
        <v/>
      </c>
      <c r="M767" s="34" t="str">
        <f t="shared" si="88"/>
        <v/>
      </c>
      <c r="N767" s="34" t="str">
        <f t="shared" si="89"/>
        <v/>
      </c>
      <c r="O767" s="34" t="str">
        <f t="shared" si="86"/>
        <v/>
      </c>
      <c r="P767" s="34" t="str">
        <f>IF(A767="","",IFERROR(VLOOKUP(A767,'表3（采购界面）'!A:J,10,0),"NA"))</f>
        <v/>
      </c>
      <c r="Q767" s="34" t="str">
        <f>IF(A767="","",IFERROR(VLOOKUP(A767,'表3（采购界面）'!A:Z,11,0),"NA"))</f>
        <v/>
      </c>
      <c r="R767" s="34" t="str">
        <f t="shared" si="90"/>
        <v/>
      </c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</row>
    <row r="768" spans="10:33" x14ac:dyDescent="0.2">
      <c r="J768" s="34"/>
      <c r="K768" s="34" t="str">
        <f t="shared" si="87"/>
        <v/>
      </c>
      <c r="L768" s="34" t="str">
        <f t="shared" si="85"/>
        <v/>
      </c>
      <c r="M768" s="34" t="str">
        <f t="shared" si="88"/>
        <v/>
      </c>
      <c r="N768" s="34" t="str">
        <f t="shared" si="89"/>
        <v/>
      </c>
      <c r="O768" s="34" t="str">
        <f t="shared" si="86"/>
        <v/>
      </c>
      <c r="P768" s="34" t="str">
        <f>IF(A768="","",IFERROR(VLOOKUP(A768,'表3（采购界面）'!A:J,10,0),"NA"))</f>
        <v/>
      </c>
      <c r="Q768" s="34" t="str">
        <f>IF(A768="","",IFERROR(VLOOKUP(A768,'表3（采购界面）'!A:Z,11,0),"NA"))</f>
        <v/>
      </c>
      <c r="R768" s="34" t="str">
        <f t="shared" si="90"/>
        <v/>
      </c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</row>
    <row r="769" spans="10:33" x14ac:dyDescent="0.2">
      <c r="J769" s="34"/>
      <c r="K769" s="34" t="str">
        <f t="shared" si="87"/>
        <v/>
      </c>
      <c r="L769" s="34" t="str">
        <f t="shared" si="85"/>
        <v/>
      </c>
      <c r="M769" s="34" t="str">
        <f t="shared" si="88"/>
        <v/>
      </c>
      <c r="N769" s="34" t="str">
        <f t="shared" si="89"/>
        <v/>
      </c>
      <c r="O769" s="34" t="str">
        <f t="shared" si="86"/>
        <v/>
      </c>
      <c r="P769" s="34" t="str">
        <f>IF(A769="","",IFERROR(VLOOKUP(A769,'表3（采购界面）'!A:J,10,0),"NA"))</f>
        <v/>
      </c>
      <c r="Q769" s="34" t="str">
        <f>IF(A769="","",IFERROR(VLOOKUP(A769,'表3（采购界面）'!A:Z,11,0),"NA"))</f>
        <v/>
      </c>
      <c r="R769" s="34" t="str">
        <f t="shared" si="90"/>
        <v/>
      </c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</row>
    <row r="770" spans="10:33" x14ac:dyDescent="0.2">
      <c r="J770" s="34"/>
      <c r="K770" s="34" t="str">
        <f t="shared" si="87"/>
        <v/>
      </c>
      <c r="L770" s="34" t="str">
        <f t="shared" si="85"/>
        <v/>
      </c>
      <c r="M770" s="34" t="str">
        <f t="shared" si="88"/>
        <v/>
      </c>
      <c r="N770" s="34" t="str">
        <f t="shared" si="89"/>
        <v/>
      </c>
      <c r="O770" s="34" t="str">
        <f t="shared" si="86"/>
        <v/>
      </c>
      <c r="P770" s="34" t="str">
        <f>IF(A770="","",IFERROR(VLOOKUP(A770,'表3（采购界面）'!A:J,10,0),"NA"))</f>
        <v/>
      </c>
      <c r="Q770" s="34" t="str">
        <f>IF(A770="","",IFERROR(VLOOKUP(A770,'表3（采购界面）'!A:Z,11,0),"NA"))</f>
        <v/>
      </c>
      <c r="R770" s="34" t="str">
        <f t="shared" si="90"/>
        <v/>
      </c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</row>
    <row r="771" spans="10:33" x14ac:dyDescent="0.2">
      <c r="J771" s="34"/>
      <c r="K771" s="34" t="str">
        <f t="shared" si="87"/>
        <v/>
      </c>
      <c r="L771" s="34" t="str">
        <f t="shared" si="85"/>
        <v/>
      </c>
      <c r="M771" s="34" t="str">
        <f t="shared" si="88"/>
        <v/>
      </c>
      <c r="N771" s="34" t="str">
        <f t="shared" si="89"/>
        <v/>
      </c>
      <c r="O771" s="34" t="str">
        <f t="shared" si="86"/>
        <v/>
      </c>
      <c r="P771" s="34" t="str">
        <f>IF(A771="","",IFERROR(VLOOKUP(A771,'表3（采购界面）'!A:J,10,0),"NA"))</f>
        <v/>
      </c>
      <c r="Q771" s="34" t="str">
        <f>IF(A771="","",IFERROR(VLOOKUP(A771,'表3（采购界面）'!A:Z,11,0),"NA"))</f>
        <v/>
      </c>
      <c r="R771" s="34" t="str">
        <f t="shared" si="90"/>
        <v/>
      </c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</row>
    <row r="772" spans="10:33" x14ac:dyDescent="0.2">
      <c r="J772" s="34"/>
      <c r="K772" s="34" t="str">
        <f t="shared" si="87"/>
        <v/>
      </c>
      <c r="L772" s="34" t="str">
        <f t="shared" si="85"/>
        <v/>
      </c>
      <c r="M772" s="34" t="str">
        <f t="shared" si="88"/>
        <v/>
      </c>
      <c r="N772" s="34" t="str">
        <f t="shared" si="89"/>
        <v/>
      </c>
      <c r="O772" s="34" t="str">
        <f t="shared" si="86"/>
        <v/>
      </c>
      <c r="P772" s="34" t="str">
        <f>IF(A772="","",IFERROR(VLOOKUP(A772,'表3（采购界面）'!A:J,10,0),"NA"))</f>
        <v/>
      </c>
      <c r="Q772" s="34" t="str">
        <f>IF(A772="","",IFERROR(VLOOKUP(A772,'表3（采购界面）'!A:Z,11,0),"NA"))</f>
        <v/>
      </c>
      <c r="R772" s="34" t="str">
        <f t="shared" si="90"/>
        <v/>
      </c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</row>
    <row r="773" spans="10:33" x14ac:dyDescent="0.2">
      <c r="J773" s="34"/>
      <c r="K773" s="34" t="str">
        <f t="shared" si="87"/>
        <v/>
      </c>
      <c r="L773" s="34" t="str">
        <f t="shared" ref="L773:L836" si="91">_xlfn.IFS(LEFT(A773)="1","MB",LEFT(A773)="2","WB",LEFT(A773)="3","WB",AND(LEFT(A773)="4",D773&lt;&gt;"中国",J773&lt;&gt;"Y01"),"FX",A773&lt;&gt;"","EX",A773="","")</f>
        <v/>
      </c>
      <c r="M773" s="34" t="str">
        <f t="shared" si="88"/>
        <v/>
      </c>
      <c r="N773" s="34" t="str">
        <f t="shared" si="89"/>
        <v/>
      </c>
      <c r="O773" s="34" t="str">
        <f t="shared" ref="O773:O836" si="92">IF(OR(LEFT(A773,1)="4",LEFT(A773,1)="5"),"NA","")</f>
        <v/>
      </c>
      <c r="P773" s="34" t="str">
        <f>IF(A773="","",IFERROR(VLOOKUP(A773,'表3（采购界面）'!A:J,10,0),"NA"))</f>
        <v/>
      </c>
      <c r="Q773" s="34" t="str">
        <f>IF(A773="","",IFERROR(VLOOKUP(A773,'表3（采购界面）'!A:Z,11,0),"NA"))</f>
        <v/>
      </c>
      <c r="R773" s="34" t="str">
        <f t="shared" si="90"/>
        <v/>
      </c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</row>
    <row r="774" spans="10:33" x14ac:dyDescent="0.2">
      <c r="J774" s="34"/>
      <c r="K774" s="34" t="str">
        <f t="shared" ref="K774:K837" si="93">_xlfn.IFS(AND(LEFT(A774,1)="4",D774="中国"),"ND",AND(LEFT(A774,1)="5",D774="中国"),"ND",AND(LEFT(A774,1)="5",D774&lt;&gt;"中国"),"M2",A774="","",A774&lt;&gt;"","PD")</f>
        <v/>
      </c>
      <c r="L774" s="34" t="str">
        <f t="shared" si="91"/>
        <v/>
      </c>
      <c r="M774" s="34" t="str">
        <f t="shared" ref="M774:M837" si="94">IF(OR(L774="FX",L774=""),"","NA")</f>
        <v/>
      </c>
      <c r="N774" s="34" t="str">
        <f t="shared" ref="N774:N837" si="95">IF(A774="","","NA")</f>
        <v/>
      </c>
      <c r="O774" s="34" t="str">
        <f t="shared" si="92"/>
        <v/>
      </c>
      <c r="P774" s="34" t="str">
        <f>IF(A774="","",IFERROR(VLOOKUP(A774,'表3（采购界面）'!A:J,10,0),"NA"))</f>
        <v/>
      </c>
      <c r="Q774" s="34" t="str">
        <f>IF(A774="","",IFERROR(VLOOKUP(A774,'表3（采购界面）'!A:Z,11,0),"NA"))</f>
        <v/>
      </c>
      <c r="R774" s="34" t="str">
        <f t="shared" ref="R774:R837" si="96">IF(A774="","",IF(OR(LEFT(A774,1)="1",LEFT(A774,1)="2",LEFT(A774,1)="3"),"F","E"))</f>
        <v/>
      </c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</row>
    <row r="775" spans="10:33" x14ac:dyDescent="0.2">
      <c r="J775" s="34"/>
      <c r="K775" s="34" t="str">
        <f t="shared" si="93"/>
        <v/>
      </c>
      <c r="L775" s="34" t="str">
        <f t="shared" si="91"/>
        <v/>
      </c>
      <c r="M775" s="34" t="str">
        <f t="shared" si="94"/>
        <v/>
      </c>
      <c r="N775" s="34" t="str">
        <f t="shared" si="95"/>
        <v/>
      </c>
      <c r="O775" s="34" t="str">
        <f t="shared" si="92"/>
        <v/>
      </c>
      <c r="P775" s="34" t="str">
        <f>IF(A775="","",IFERROR(VLOOKUP(A775,'表3（采购界面）'!A:J,10,0),"NA"))</f>
        <v/>
      </c>
      <c r="Q775" s="34" t="str">
        <f>IF(A775="","",IFERROR(VLOOKUP(A775,'表3（采购界面）'!A:Z,11,0),"NA"))</f>
        <v/>
      </c>
      <c r="R775" s="34" t="str">
        <f t="shared" si="96"/>
        <v/>
      </c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</row>
    <row r="776" spans="10:33" x14ac:dyDescent="0.2">
      <c r="J776" s="34"/>
      <c r="K776" s="34" t="str">
        <f t="shared" si="93"/>
        <v/>
      </c>
      <c r="L776" s="34" t="str">
        <f t="shared" si="91"/>
        <v/>
      </c>
      <c r="M776" s="34" t="str">
        <f t="shared" si="94"/>
        <v/>
      </c>
      <c r="N776" s="34" t="str">
        <f t="shared" si="95"/>
        <v/>
      </c>
      <c r="O776" s="34" t="str">
        <f t="shared" si="92"/>
        <v/>
      </c>
      <c r="P776" s="34" t="str">
        <f>IF(A776="","",IFERROR(VLOOKUP(A776,'表3（采购界面）'!A:J,10,0),"NA"))</f>
        <v/>
      </c>
      <c r="Q776" s="34" t="str">
        <f>IF(A776="","",IFERROR(VLOOKUP(A776,'表3（采购界面）'!A:Z,11,0),"NA"))</f>
        <v/>
      </c>
      <c r="R776" s="34" t="str">
        <f t="shared" si="96"/>
        <v/>
      </c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</row>
    <row r="777" spans="10:33" x14ac:dyDescent="0.2">
      <c r="J777" s="34"/>
      <c r="K777" s="34" t="str">
        <f t="shared" si="93"/>
        <v/>
      </c>
      <c r="L777" s="34" t="str">
        <f t="shared" si="91"/>
        <v/>
      </c>
      <c r="M777" s="34" t="str">
        <f t="shared" si="94"/>
        <v/>
      </c>
      <c r="N777" s="34" t="str">
        <f t="shared" si="95"/>
        <v/>
      </c>
      <c r="O777" s="34" t="str">
        <f t="shared" si="92"/>
        <v/>
      </c>
      <c r="P777" s="34" t="str">
        <f>IF(A777="","",IFERROR(VLOOKUP(A777,'表3（采购界面）'!A:J,10,0),"NA"))</f>
        <v/>
      </c>
      <c r="Q777" s="34" t="str">
        <f>IF(A777="","",IFERROR(VLOOKUP(A777,'表3（采购界面）'!A:Z,11,0),"NA"))</f>
        <v/>
      </c>
      <c r="R777" s="34" t="str">
        <f t="shared" si="96"/>
        <v/>
      </c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</row>
    <row r="778" spans="10:33" x14ac:dyDescent="0.2">
      <c r="J778" s="34"/>
      <c r="K778" s="34" t="str">
        <f t="shared" si="93"/>
        <v/>
      </c>
      <c r="L778" s="34" t="str">
        <f t="shared" si="91"/>
        <v/>
      </c>
      <c r="M778" s="34" t="str">
        <f t="shared" si="94"/>
        <v/>
      </c>
      <c r="N778" s="34" t="str">
        <f t="shared" si="95"/>
        <v/>
      </c>
      <c r="O778" s="34" t="str">
        <f t="shared" si="92"/>
        <v/>
      </c>
      <c r="P778" s="34" t="str">
        <f>IF(A778="","",IFERROR(VLOOKUP(A778,'表3（采购界面）'!A:J,10,0),"NA"))</f>
        <v/>
      </c>
      <c r="Q778" s="34" t="str">
        <f>IF(A778="","",IFERROR(VLOOKUP(A778,'表3（采购界面）'!A:Z,11,0),"NA"))</f>
        <v/>
      </c>
      <c r="R778" s="34" t="str">
        <f t="shared" si="96"/>
        <v/>
      </c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</row>
    <row r="779" spans="10:33" x14ac:dyDescent="0.2">
      <c r="J779" s="34"/>
      <c r="K779" s="34" t="str">
        <f t="shared" si="93"/>
        <v/>
      </c>
      <c r="L779" s="34" t="str">
        <f t="shared" si="91"/>
        <v/>
      </c>
      <c r="M779" s="34" t="str">
        <f t="shared" si="94"/>
        <v/>
      </c>
      <c r="N779" s="34" t="str">
        <f t="shared" si="95"/>
        <v/>
      </c>
      <c r="O779" s="34" t="str">
        <f t="shared" si="92"/>
        <v/>
      </c>
      <c r="P779" s="34" t="str">
        <f>IF(A779="","",IFERROR(VLOOKUP(A779,'表3（采购界面）'!A:J,10,0),"NA"))</f>
        <v/>
      </c>
      <c r="Q779" s="34" t="str">
        <f>IF(A779="","",IFERROR(VLOOKUP(A779,'表3（采购界面）'!A:Z,11,0),"NA"))</f>
        <v/>
      </c>
      <c r="R779" s="34" t="str">
        <f t="shared" si="96"/>
        <v/>
      </c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</row>
    <row r="780" spans="10:33" x14ac:dyDescent="0.2">
      <c r="J780" s="34"/>
      <c r="K780" s="34" t="str">
        <f t="shared" si="93"/>
        <v/>
      </c>
      <c r="L780" s="34" t="str">
        <f t="shared" si="91"/>
        <v/>
      </c>
      <c r="M780" s="34" t="str">
        <f t="shared" si="94"/>
        <v/>
      </c>
      <c r="N780" s="34" t="str">
        <f t="shared" si="95"/>
        <v/>
      </c>
      <c r="O780" s="34" t="str">
        <f t="shared" si="92"/>
        <v/>
      </c>
      <c r="P780" s="34" t="str">
        <f>IF(A780="","",IFERROR(VLOOKUP(A780,'表3（采购界面）'!A:J,10,0),"NA"))</f>
        <v/>
      </c>
      <c r="Q780" s="34" t="str">
        <f>IF(A780="","",IFERROR(VLOOKUP(A780,'表3（采购界面）'!A:Z,11,0),"NA"))</f>
        <v/>
      </c>
      <c r="R780" s="34" t="str">
        <f t="shared" si="96"/>
        <v/>
      </c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</row>
    <row r="781" spans="10:33" x14ac:dyDescent="0.2">
      <c r="J781" s="34"/>
      <c r="K781" s="34" t="str">
        <f t="shared" si="93"/>
        <v/>
      </c>
      <c r="L781" s="34" t="str">
        <f t="shared" si="91"/>
        <v/>
      </c>
      <c r="M781" s="34" t="str">
        <f t="shared" si="94"/>
        <v/>
      </c>
      <c r="N781" s="34" t="str">
        <f t="shared" si="95"/>
        <v/>
      </c>
      <c r="O781" s="34" t="str">
        <f t="shared" si="92"/>
        <v/>
      </c>
      <c r="P781" s="34" t="str">
        <f>IF(A781="","",IFERROR(VLOOKUP(A781,'表3（采购界面）'!A:J,10,0),"NA"))</f>
        <v/>
      </c>
      <c r="Q781" s="34" t="str">
        <f>IF(A781="","",IFERROR(VLOOKUP(A781,'表3（采购界面）'!A:Z,11,0),"NA"))</f>
        <v/>
      </c>
      <c r="R781" s="34" t="str">
        <f t="shared" si="96"/>
        <v/>
      </c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</row>
    <row r="782" spans="10:33" x14ac:dyDescent="0.2">
      <c r="J782" s="34"/>
      <c r="K782" s="34" t="str">
        <f t="shared" si="93"/>
        <v/>
      </c>
      <c r="L782" s="34" t="str">
        <f t="shared" si="91"/>
        <v/>
      </c>
      <c r="M782" s="34" t="str">
        <f t="shared" si="94"/>
        <v/>
      </c>
      <c r="N782" s="34" t="str">
        <f t="shared" si="95"/>
        <v/>
      </c>
      <c r="O782" s="34" t="str">
        <f t="shared" si="92"/>
        <v/>
      </c>
      <c r="P782" s="34" t="str">
        <f>IF(A782="","",IFERROR(VLOOKUP(A782,'表3（采购界面）'!A:J,10,0),"NA"))</f>
        <v/>
      </c>
      <c r="Q782" s="34" t="str">
        <f>IF(A782="","",IFERROR(VLOOKUP(A782,'表3（采购界面）'!A:Z,11,0),"NA"))</f>
        <v/>
      </c>
      <c r="R782" s="34" t="str">
        <f t="shared" si="96"/>
        <v/>
      </c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</row>
    <row r="783" spans="10:33" x14ac:dyDescent="0.2">
      <c r="J783" s="34"/>
      <c r="K783" s="34" t="str">
        <f t="shared" si="93"/>
        <v/>
      </c>
      <c r="L783" s="34" t="str">
        <f t="shared" si="91"/>
        <v/>
      </c>
      <c r="M783" s="34" t="str">
        <f t="shared" si="94"/>
        <v/>
      </c>
      <c r="N783" s="34" t="str">
        <f t="shared" si="95"/>
        <v/>
      </c>
      <c r="O783" s="34" t="str">
        <f t="shared" si="92"/>
        <v/>
      </c>
      <c r="P783" s="34" t="str">
        <f>IF(A783="","",IFERROR(VLOOKUP(A783,'表3（采购界面）'!A:J,10,0),"NA"))</f>
        <v/>
      </c>
      <c r="Q783" s="34" t="str">
        <f>IF(A783="","",IFERROR(VLOOKUP(A783,'表3（采购界面）'!A:Z,11,0),"NA"))</f>
        <v/>
      </c>
      <c r="R783" s="34" t="str">
        <f t="shared" si="96"/>
        <v/>
      </c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</row>
    <row r="784" spans="10:33" x14ac:dyDescent="0.2">
      <c r="J784" s="34"/>
      <c r="K784" s="34" t="str">
        <f t="shared" si="93"/>
        <v/>
      </c>
      <c r="L784" s="34" t="str">
        <f t="shared" si="91"/>
        <v/>
      </c>
      <c r="M784" s="34" t="str">
        <f t="shared" si="94"/>
        <v/>
      </c>
      <c r="N784" s="34" t="str">
        <f t="shared" si="95"/>
        <v/>
      </c>
      <c r="O784" s="34" t="str">
        <f t="shared" si="92"/>
        <v/>
      </c>
      <c r="P784" s="34" t="str">
        <f>IF(A784="","",IFERROR(VLOOKUP(A784,'表3（采购界面）'!A:J,10,0),"NA"))</f>
        <v/>
      </c>
      <c r="Q784" s="34" t="str">
        <f>IF(A784="","",IFERROR(VLOOKUP(A784,'表3（采购界面）'!A:Z,11,0),"NA"))</f>
        <v/>
      </c>
      <c r="R784" s="34" t="str">
        <f t="shared" si="96"/>
        <v/>
      </c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</row>
    <row r="785" spans="10:33" x14ac:dyDescent="0.2">
      <c r="J785" s="34"/>
      <c r="K785" s="34" t="str">
        <f t="shared" si="93"/>
        <v/>
      </c>
      <c r="L785" s="34" t="str">
        <f t="shared" si="91"/>
        <v/>
      </c>
      <c r="M785" s="34" t="str">
        <f t="shared" si="94"/>
        <v/>
      </c>
      <c r="N785" s="34" t="str">
        <f t="shared" si="95"/>
        <v/>
      </c>
      <c r="O785" s="34" t="str">
        <f t="shared" si="92"/>
        <v/>
      </c>
      <c r="P785" s="34" t="str">
        <f>IF(A785="","",IFERROR(VLOOKUP(A785,'表3（采购界面）'!A:J,10,0),"NA"))</f>
        <v/>
      </c>
      <c r="Q785" s="34" t="str">
        <f>IF(A785="","",IFERROR(VLOOKUP(A785,'表3（采购界面）'!A:Z,11,0),"NA"))</f>
        <v/>
      </c>
      <c r="R785" s="34" t="str">
        <f t="shared" si="96"/>
        <v/>
      </c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</row>
    <row r="786" spans="10:33" x14ac:dyDescent="0.2">
      <c r="J786" s="34"/>
      <c r="K786" s="34" t="str">
        <f t="shared" si="93"/>
        <v/>
      </c>
      <c r="L786" s="34" t="str">
        <f t="shared" si="91"/>
        <v/>
      </c>
      <c r="M786" s="34" t="str">
        <f t="shared" si="94"/>
        <v/>
      </c>
      <c r="N786" s="34" t="str">
        <f t="shared" si="95"/>
        <v/>
      </c>
      <c r="O786" s="34" t="str">
        <f t="shared" si="92"/>
        <v/>
      </c>
      <c r="P786" s="34" t="str">
        <f>IF(A786="","",IFERROR(VLOOKUP(A786,'表3（采购界面）'!A:J,10,0),"NA"))</f>
        <v/>
      </c>
      <c r="Q786" s="34" t="str">
        <f>IF(A786="","",IFERROR(VLOOKUP(A786,'表3（采购界面）'!A:Z,11,0),"NA"))</f>
        <v/>
      </c>
      <c r="R786" s="34" t="str">
        <f t="shared" si="96"/>
        <v/>
      </c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</row>
    <row r="787" spans="10:33" x14ac:dyDescent="0.2">
      <c r="J787" s="34"/>
      <c r="K787" s="34" t="str">
        <f t="shared" si="93"/>
        <v/>
      </c>
      <c r="L787" s="34" t="str">
        <f t="shared" si="91"/>
        <v/>
      </c>
      <c r="M787" s="34" t="str">
        <f t="shared" si="94"/>
        <v/>
      </c>
      <c r="N787" s="34" t="str">
        <f t="shared" si="95"/>
        <v/>
      </c>
      <c r="O787" s="34" t="str">
        <f t="shared" si="92"/>
        <v/>
      </c>
      <c r="P787" s="34" t="str">
        <f>IF(A787="","",IFERROR(VLOOKUP(A787,'表3（采购界面）'!A:J,10,0),"NA"))</f>
        <v/>
      </c>
      <c r="Q787" s="34" t="str">
        <f>IF(A787="","",IFERROR(VLOOKUP(A787,'表3（采购界面）'!A:Z,11,0),"NA"))</f>
        <v/>
      </c>
      <c r="R787" s="34" t="str">
        <f t="shared" si="96"/>
        <v/>
      </c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</row>
    <row r="788" spans="10:33" x14ac:dyDescent="0.2">
      <c r="J788" s="34"/>
      <c r="K788" s="34" t="str">
        <f t="shared" si="93"/>
        <v/>
      </c>
      <c r="L788" s="34" t="str">
        <f t="shared" si="91"/>
        <v/>
      </c>
      <c r="M788" s="34" t="str">
        <f t="shared" si="94"/>
        <v/>
      </c>
      <c r="N788" s="34" t="str">
        <f t="shared" si="95"/>
        <v/>
      </c>
      <c r="O788" s="34" t="str">
        <f t="shared" si="92"/>
        <v/>
      </c>
      <c r="P788" s="34" t="str">
        <f>IF(A788="","",IFERROR(VLOOKUP(A788,'表3（采购界面）'!A:J,10,0),"NA"))</f>
        <v/>
      </c>
      <c r="Q788" s="34" t="str">
        <f>IF(A788="","",IFERROR(VLOOKUP(A788,'表3（采购界面）'!A:Z,11,0),"NA"))</f>
        <v/>
      </c>
      <c r="R788" s="34" t="str">
        <f t="shared" si="96"/>
        <v/>
      </c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</row>
    <row r="789" spans="10:33" x14ac:dyDescent="0.2">
      <c r="J789" s="34"/>
      <c r="K789" s="34" t="str">
        <f t="shared" si="93"/>
        <v/>
      </c>
      <c r="L789" s="34" t="str">
        <f t="shared" si="91"/>
        <v/>
      </c>
      <c r="M789" s="34" t="str">
        <f t="shared" si="94"/>
        <v/>
      </c>
      <c r="N789" s="34" t="str">
        <f t="shared" si="95"/>
        <v/>
      </c>
      <c r="O789" s="34" t="str">
        <f t="shared" si="92"/>
        <v/>
      </c>
      <c r="P789" s="34" t="str">
        <f>IF(A789="","",IFERROR(VLOOKUP(A789,'表3（采购界面）'!A:J,10,0),"NA"))</f>
        <v/>
      </c>
      <c r="Q789" s="34" t="str">
        <f>IF(A789="","",IFERROR(VLOOKUP(A789,'表3（采购界面）'!A:Z,11,0),"NA"))</f>
        <v/>
      </c>
      <c r="R789" s="34" t="str">
        <f t="shared" si="96"/>
        <v/>
      </c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</row>
    <row r="790" spans="10:33" x14ac:dyDescent="0.2">
      <c r="J790" s="34"/>
      <c r="K790" s="34" t="str">
        <f t="shared" si="93"/>
        <v/>
      </c>
      <c r="L790" s="34" t="str">
        <f t="shared" si="91"/>
        <v/>
      </c>
      <c r="M790" s="34" t="str">
        <f t="shared" si="94"/>
        <v/>
      </c>
      <c r="N790" s="34" t="str">
        <f t="shared" si="95"/>
        <v/>
      </c>
      <c r="O790" s="34" t="str">
        <f t="shared" si="92"/>
        <v/>
      </c>
      <c r="P790" s="34" t="str">
        <f>IF(A790="","",IFERROR(VLOOKUP(A790,'表3（采购界面）'!A:J,10,0),"NA"))</f>
        <v/>
      </c>
      <c r="Q790" s="34" t="str">
        <f>IF(A790="","",IFERROR(VLOOKUP(A790,'表3（采购界面）'!A:Z,11,0),"NA"))</f>
        <v/>
      </c>
      <c r="R790" s="34" t="str">
        <f t="shared" si="96"/>
        <v/>
      </c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</row>
    <row r="791" spans="10:33" x14ac:dyDescent="0.2">
      <c r="J791" s="34"/>
      <c r="K791" s="34" t="str">
        <f t="shared" si="93"/>
        <v/>
      </c>
      <c r="L791" s="34" t="str">
        <f t="shared" si="91"/>
        <v/>
      </c>
      <c r="M791" s="34" t="str">
        <f t="shared" si="94"/>
        <v/>
      </c>
      <c r="N791" s="34" t="str">
        <f t="shared" si="95"/>
        <v/>
      </c>
      <c r="O791" s="34" t="str">
        <f t="shared" si="92"/>
        <v/>
      </c>
      <c r="P791" s="34" t="str">
        <f>IF(A791="","",IFERROR(VLOOKUP(A791,'表3（采购界面）'!A:J,10,0),"NA"))</f>
        <v/>
      </c>
      <c r="Q791" s="34" t="str">
        <f>IF(A791="","",IFERROR(VLOOKUP(A791,'表3（采购界面）'!A:Z,11,0),"NA"))</f>
        <v/>
      </c>
      <c r="R791" s="34" t="str">
        <f t="shared" si="96"/>
        <v/>
      </c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</row>
    <row r="792" spans="10:33" x14ac:dyDescent="0.2">
      <c r="J792" s="34"/>
      <c r="K792" s="34" t="str">
        <f t="shared" si="93"/>
        <v/>
      </c>
      <c r="L792" s="34" t="str">
        <f t="shared" si="91"/>
        <v/>
      </c>
      <c r="M792" s="34" t="str">
        <f t="shared" si="94"/>
        <v/>
      </c>
      <c r="N792" s="34" t="str">
        <f t="shared" si="95"/>
        <v/>
      </c>
      <c r="O792" s="34" t="str">
        <f t="shared" si="92"/>
        <v/>
      </c>
      <c r="P792" s="34" t="str">
        <f>IF(A792="","",IFERROR(VLOOKUP(A792,'表3（采购界面）'!A:J,10,0),"NA"))</f>
        <v/>
      </c>
      <c r="Q792" s="34" t="str">
        <f>IF(A792="","",IFERROR(VLOOKUP(A792,'表3（采购界面）'!A:Z,11,0),"NA"))</f>
        <v/>
      </c>
      <c r="R792" s="34" t="str">
        <f t="shared" si="96"/>
        <v/>
      </c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</row>
    <row r="793" spans="10:33" x14ac:dyDescent="0.2">
      <c r="J793" s="34"/>
      <c r="K793" s="34" t="str">
        <f t="shared" si="93"/>
        <v/>
      </c>
      <c r="L793" s="34" t="str">
        <f t="shared" si="91"/>
        <v/>
      </c>
      <c r="M793" s="34" t="str">
        <f t="shared" si="94"/>
        <v/>
      </c>
      <c r="N793" s="34" t="str">
        <f t="shared" si="95"/>
        <v/>
      </c>
      <c r="O793" s="34" t="str">
        <f t="shared" si="92"/>
        <v/>
      </c>
      <c r="P793" s="34" t="str">
        <f>IF(A793="","",IFERROR(VLOOKUP(A793,'表3（采购界面）'!A:J,10,0),"NA"))</f>
        <v/>
      </c>
      <c r="Q793" s="34" t="str">
        <f>IF(A793="","",IFERROR(VLOOKUP(A793,'表3（采购界面）'!A:Z,11,0),"NA"))</f>
        <v/>
      </c>
      <c r="R793" s="34" t="str">
        <f t="shared" si="96"/>
        <v/>
      </c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</row>
    <row r="794" spans="10:33" x14ac:dyDescent="0.2">
      <c r="J794" s="34"/>
      <c r="K794" s="34" t="str">
        <f t="shared" si="93"/>
        <v/>
      </c>
      <c r="L794" s="34" t="str">
        <f t="shared" si="91"/>
        <v/>
      </c>
      <c r="M794" s="34" t="str">
        <f t="shared" si="94"/>
        <v/>
      </c>
      <c r="N794" s="34" t="str">
        <f t="shared" si="95"/>
        <v/>
      </c>
      <c r="O794" s="34" t="str">
        <f t="shared" si="92"/>
        <v/>
      </c>
      <c r="P794" s="34" t="str">
        <f>IF(A794="","",IFERROR(VLOOKUP(A794,'表3（采购界面）'!A:J,10,0),"NA"))</f>
        <v/>
      </c>
      <c r="Q794" s="34" t="str">
        <f>IF(A794="","",IFERROR(VLOOKUP(A794,'表3（采购界面）'!A:Z,11,0),"NA"))</f>
        <v/>
      </c>
      <c r="R794" s="34" t="str">
        <f t="shared" si="96"/>
        <v/>
      </c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</row>
    <row r="795" spans="10:33" x14ac:dyDescent="0.2">
      <c r="J795" s="34"/>
      <c r="K795" s="34" t="str">
        <f t="shared" si="93"/>
        <v/>
      </c>
      <c r="L795" s="34" t="str">
        <f t="shared" si="91"/>
        <v/>
      </c>
      <c r="M795" s="34" t="str">
        <f t="shared" si="94"/>
        <v/>
      </c>
      <c r="N795" s="34" t="str">
        <f t="shared" si="95"/>
        <v/>
      </c>
      <c r="O795" s="34" t="str">
        <f t="shared" si="92"/>
        <v/>
      </c>
      <c r="P795" s="34" t="str">
        <f>IF(A795="","",IFERROR(VLOOKUP(A795,'表3（采购界面）'!A:J,10,0),"NA"))</f>
        <v/>
      </c>
      <c r="Q795" s="34" t="str">
        <f>IF(A795="","",IFERROR(VLOOKUP(A795,'表3（采购界面）'!A:Z,11,0),"NA"))</f>
        <v/>
      </c>
      <c r="R795" s="34" t="str">
        <f t="shared" si="96"/>
        <v/>
      </c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</row>
    <row r="796" spans="10:33" x14ac:dyDescent="0.2">
      <c r="J796" s="34"/>
      <c r="K796" s="34" t="str">
        <f t="shared" si="93"/>
        <v/>
      </c>
      <c r="L796" s="34" t="str">
        <f t="shared" si="91"/>
        <v/>
      </c>
      <c r="M796" s="34" t="str">
        <f t="shared" si="94"/>
        <v/>
      </c>
      <c r="N796" s="34" t="str">
        <f t="shared" si="95"/>
        <v/>
      </c>
      <c r="O796" s="34" t="str">
        <f t="shared" si="92"/>
        <v/>
      </c>
      <c r="P796" s="34" t="str">
        <f>IF(A796="","",IFERROR(VLOOKUP(A796,'表3（采购界面）'!A:J,10,0),"NA"))</f>
        <v/>
      </c>
      <c r="Q796" s="34" t="str">
        <f>IF(A796="","",IFERROR(VLOOKUP(A796,'表3（采购界面）'!A:Z,11,0),"NA"))</f>
        <v/>
      </c>
      <c r="R796" s="34" t="str">
        <f t="shared" si="96"/>
        <v/>
      </c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</row>
    <row r="797" spans="10:33" x14ac:dyDescent="0.2">
      <c r="J797" s="34"/>
      <c r="K797" s="34" t="str">
        <f t="shared" si="93"/>
        <v/>
      </c>
      <c r="L797" s="34" t="str">
        <f t="shared" si="91"/>
        <v/>
      </c>
      <c r="M797" s="34" t="str">
        <f t="shared" si="94"/>
        <v/>
      </c>
      <c r="N797" s="34" t="str">
        <f t="shared" si="95"/>
        <v/>
      </c>
      <c r="O797" s="34" t="str">
        <f t="shared" si="92"/>
        <v/>
      </c>
      <c r="P797" s="34" t="str">
        <f>IF(A797="","",IFERROR(VLOOKUP(A797,'表3（采购界面）'!A:J,10,0),"NA"))</f>
        <v/>
      </c>
      <c r="Q797" s="34" t="str">
        <f>IF(A797="","",IFERROR(VLOOKUP(A797,'表3（采购界面）'!A:Z,11,0),"NA"))</f>
        <v/>
      </c>
      <c r="R797" s="34" t="str">
        <f t="shared" si="96"/>
        <v/>
      </c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</row>
    <row r="798" spans="10:33" x14ac:dyDescent="0.2">
      <c r="J798" s="34"/>
      <c r="K798" s="34" t="str">
        <f t="shared" si="93"/>
        <v/>
      </c>
      <c r="L798" s="34" t="str">
        <f t="shared" si="91"/>
        <v/>
      </c>
      <c r="M798" s="34" t="str">
        <f t="shared" si="94"/>
        <v/>
      </c>
      <c r="N798" s="34" t="str">
        <f t="shared" si="95"/>
        <v/>
      </c>
      <c r="O798" s="34" t="str">
        <f t="shared" si="92"/>
        <v/>
      </c>
      <c r="P798" s="34" t="str">
        <f>IF(A798="","",IFERROR(VLOOKUP(A798,'表3（采购界面）'!A:J,10,0),"NA"))</f>
        <v/>
      </c>
      <c r="Q798" s="34" t="str">
        <f>IF(A798="","",IFERROR(VLOOKUP(A798,'表3（采购界面）'!A:Z,11,0),"NA"))</f>
        <v/>
      </c>
      <c r="R798" s="34" t="str">
        <f t="shared" si="96"/>
        <v/>
      </c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</row>
    <row r="799" spans="10:33" x14ac:dyDescent="0.2">
      <c r="J799" s="34"/>
      <c r="K799" s="34" t="str">
        <f t="shared" si="93"/>
        <v/>
      </c>
      <c r="L799" s="34" t="str">
        <f t="shared" si="91"/>
        <v/>
      </c>
      <c r="M799" s="34" t="str">
        <f t="shared" si="94"/>
        <v/>
      </c>
      <c r="N799" s="34" t="str">
        <f t="shared" si="95"/>
        <v/>
      </c>
      <c r="O799" s="34" t="str">
        <f t="shared" si="92"/>
        <v/>
      </c>
      <c r="P799" s="34" t="str">
        <f>IF(A799="","",IFERROR(VLOOKUP(A799,'表3（采购界面）'!A:J,10,0),"NA"))</f>
        <v/>
      </c>
      <c r="Q799" s="34" t="str">
        <f>IF(A799="","",IFERROR(VLOOKUP(A799,'表3（采购界面）'!A:Z,11,0),"NA"))</f>
        <v/>
      </c>
      <c r="R799" s="34" t="str">
        <f t="shared" si="96"/>
        <v/>
      </c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</row>
    <row r="800" spans="10:33" x14ac:dyDescent="0.2">
      <c r="J800" s="34"/>
      <c r="K800" s="34" t="str">
        <f t="shared" si="93"/>
        <v/>
      </c>
      <c r="L800" s="34" t="str">
        <f t="shared" si="91"/>
        <v/>
      </c>
      <c r="M800" s="34" t="str">
        <f t="shared" si="94"/>
        <v/>
      </c>
      <c r="N800" s="34" t="str">
        <f t="shared" si="95"/>
        <v/>
      </c>
      <c r="O800" s="34" t="str">
        <f t="shared" si="92"/>
        <v/>
      </c>
      <c r="P800" s="34" t="str">
        <f>IF(A800="","",IFERROR(VLOOKUP(A800,'表3（采购界面）'!A:J,10,0),"NA"))</f>
        <v/>
      </c>
      <c r="Q800" s="34" t="str">
        <f>IF(A800="","",IFERROR(VLOOKUP(A800,'表3（采购界面）'!A:Z,11,0),"NA"))</f>
        <v/>
      </c>
      <c r="R800" s="34" t="str">
        <f t="shared" si="96"/>
        <v/>
      </c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</row>
    <row r="801" spans="10:33" x14ac:dyDescent="0.2">
      <c r="J801" s="34"/>
      <c r="K801" s="34" t="str">
        <f t="shared" si="93"/>
        <v/>
      </c>
      <c r="L801" s="34" t="str">
        <f t="shared" si="91"/>
        <v/>
      </c>
      <c r="M801" s="34" t="str">
        <f t="shared" si="94"/>
        <v/>
      </c>
      <c r="N801" s="34" t="str">
        <f t="shared" si="95"/>
        <v/>
      </c>
      <c r="O801" s="34" t="str">
        <f t="shared" si="92"/>
        <v/>
      </c>
      <c r="P801" s="34" t="str">
        <f>IF(A801="","",IFERROR(VLOOKUP(A801,'表3（采购界面）'!A:J,10,0),"NA"))</f>
        <v/>
      </c>
      <c r="Q801" s="34" t="str">
        <f>IF(A801="","",IFERROR(VLOOKUP(A801,'表3（采购界面）'!A:Z,11,0),"NA"))</f>
        <v/>
      </c>
      <c r="R801" s="34" t="str">
        <f t="shared" si="96"/>
        <v/>
      </c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</row>
    <row r="802" spans="10:33" x14ac:dyDescent="0.2">
      <c r="J802" s="34"/>
      <c r="K802" s="34" t="str">
        <f t="shared" si="93"/>
        <v/>
      </c>
      <c r="L802" s="34" t="str">
        <f t="shared" si="91"/>
        <v/>
      </c>
      <c r="M802" s="34" t="str">
        <f t="shared" si="94"/>
        <v/>
      </c>
      <c r="N802" s="34" t="str">
        <f t="shared" si="95"/>
        <v/>
      </c>
      <c r="O802" s="34" t="str">
        <f t="shared" si="92"/>
        <v/>
      </c>
      <c r="P802" s="34" t="str">
        <f>IF(A802="","",IFERROR(VLOOKUP(A802,'表3（采购界面）'!A:J,10,0),"NA"))</f>
        <v/>
      </c>
      <c r="Q802" s="34" t="str">
        <f>IF(A802="","",IFERROR(VLOOKUP(A802,'表3（采购界面）'!A:Z,11,0),"NA"))</f>
        <v/>
      </c>
      <c r="R802" s="34" t="str">
        <f t="shared" si="96"/>
        <v/>
      </c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</row>
    <row r="803" spans="10:33" x14ac:dyDescent="0.2">
      <c r="J803" s="34"/>
      <c r="K803" s="34" t="str">
        <f t="shared" si="93"/>
        <v/>
      </c>
      <c r="L803" s="34" t="str">
        <f t="shared" si="91"/>
        <v/>
      </c>
      <c r="M803" s="34" t="str">
        <f t="shared" si="94"/>
        <v/>
      </c>
      <c r="N803" s="34" t="str">
        <f t="shared" si="95"/>
        <v/>
      </c>
      <c r="O803" s="34" t="str">
        <f t="shared" si="92"/>
        <v/>
      </c>
      <c r="P803" s="34" t="str">
        <f>IF(A803="","",IFERROR(VLOOKUP(A803,'表3（采购界面）'!A:J,10,0),"NA"))</f>
        <v/>
      </c>
      <c r="Q803" s="34" t="str">
        <f>IF(A803="","",IFERROR(VLOOKUP(A803,'表3（采购界面）'!A:Z,11,0),"NA"))</f>
        <v/>
      </c>
      <c r="R803" s="34" t="str">
        <f t="shared" si="96"/>
        <v/>
      </c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</row>
    <row r="804" spans="10:33" x14ac:dyDescent="0.2">
      <c r="J804" s="34"/>
      <c r="K804" s="34" t="str">
        <f t="shared" si="93"/>
        <v/>
      </c>
      <c r="L804" s="34" t="str">
        <f t="shared" si="91"/>
        <v/>
      </c>
      <c r="M804" s="34" t="str">
        <f t="shared" si="94"/>
        <v/>
      </c>
      <c r="N804" s="34" t="str">
        <f t="shared" si="95"/>
        <v/>
      </c>
      <c r="O804" s="34" t="str">
        <f t="shared" si="92"/>
        <v/>
      </c>
      <c r="P804" s="34" t="str">
        <f>IF(A804="","",IFERROR(VLOOKUP(A804,'表3（采购界面）'!A:J,10,0),"NA"))</f>
        <v/>
      </c>
      <c r="Q804" s="34" t="str">
        <f>IF(A804="","",IFERROR(VLOOKUP(A804,'表3（采购界面）'!A:Z,11,0),"NA"))</f>
        <v/>
      </c>
      <c r="R804" s="34" t="str">
        <f t="shared" si="96"/>
        <v/>
      </c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</row>
    <row r="805" spans="10:33" x14ac:dyDescent="0.2">
      <c r="J805" s="34"/>
      <c r="K805" s="34" t="str">
        <f t="shared" si="93"/>
        <v/>
      </c>
      <c r="L805" s="34" t="str">
        <f t="shared" si="91"/>
        <v/>
      </c>
      <c r="M805" s="34" t="str">
        <f t="shared" si="94"/>
        <v/>
      </c>
      <c r="N805" s="34" t="str">
        <f t="shared" si="95"/>
        <v/>
      </c>
      <c r="O805" s="34" t="str">
        <f t="shared" si="92"/>
        <v/>
      </c>
      <c r="P805" s="34" t="str">
        <f>IF(A805="","",IFERROR(VLOOKUP(A805,'表3（采购界面）'!A:J,10,0),"NA"))</f>
        <v/>
      </c>
      <c r="Q805" s="34" t="str">
        <f>IF(A805="","",IFERROR(VLOOKUP(A805,'表3（采购界面）'!A:Z,11,0),"NA"))</f>
        <v/>
      </c>
      <c r="R805" s="34" t="str">
        <f t="shared" si="96"/>
        <v/>
      </c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</row>
    <row r="806" spans="10:33" x14ac:dyDescent="0.2">
      <c r="J806" s="34"/>
      <c r="K806" s="34" t="str">
        <f t="shared" si="93"/>
        <v/>
      </c>
      <c r="L806" s="34" t="str">
        <f t="shared" si="91"/>
        <v/>
      </c>
      <c r="M806" s="34" t="str">
        <f t="shared" si="94"/>
        <v/>
      </c>
      <c r="N806" s="34" t="str">
        <f t="shared" si="95"/>
        <v/>
      </c>
      <c r="O806" s="34" t="str">
        <f t="shared" si="92"/>
        <v/>
      </c>
      <c r="P806" s="34" t="str">
        <f>IF(A806="","",IFERROR(VLOOKUP(A806,'表3（采购界面）'!A:J,10,0),"NA"))</f>
        <v/>
      </c>
      <c r="Q806" s="34" t="str">
        <f>IF(A806="","",IFERROR(VLOOKUP(A806,'表3（采购界面）'!A:Z,11,0),"NA"))</f>
        <v/>
      </c>
      <c r="R806" s="34" t="str">
        <f t="shared" si="96"/>
        <v/>
      </c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</row>
    <row r="807" spans="10:33" x14ac:dyDescent="0.2">
      <c r="J807" s="34"/>
      <c r="K807" s="34" t="str">
        <f t="shared" si="93"/>
        <v/>
      </c>
      <c r="L807" s="34" t="str">
        <f t="shared" si="91"/>
        <v/>
      </c>
      <c r="M807" s="34" t="str">
        <f t="shared" si="94"/>
        <v/>
      </c>
      <c r="N807" s="34" t="str">
        <f t="shared" si="95"/>
        <v/>
      </c>
      <c r="O807" s="34" t="str">
        <f t="shared" si="92"/>
        <v/>
      </c>
      <c r="P807" s="34" t="str">
        <f>IF(A807="","",IFERROR(VLOOKUP(A807,'表3（采购界面）'!A:J,10,0),"NA"))</f>
        <v/>
      </c>
      <c r="Q807" s="34" t="str">
        <f>IF(A807="","",IFERROR(VLOOKUP(A807,'表3（采购界面）'!A:Z,11,0),"NA"))</f>
        <v/>
      </c>
      <c r="R807" s="34" t="str">
        <f t="shared" si="96"/>
        <v/>
      </c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</row>
    <row r="808" spans="10:33" x14ac:dyDescent="0.2">
      <c r="J808" s="34"/>
      <c r="K808" s="34" t="str">
        <f t="shared" si="93"/>
        <v/>
      </c>
      <c r="L808" s="34" t="str">
        <f t="shared" si="91"/>
        <v/>
      </c>
      <c r="M808" s="34" t="str">
        <f t="shared" si="94"/>
        <v/>
      </c>
      <c r="N808" s="34" t="str">
        <f t="shared" si="95"/>
        <v/>
      </c>
      <c r="O808" s="34" t="str">
        <f t="shared" si="92"/>
        <v/>
      </c>
      <c r="P808" s="34" t="str">
        <f>IF(A808="","",IFERROR(VLOOKUP(A808,'表3（采购界面）'!A:J,10,0),"NA"))</f>
        <v/>
      </c>
      <c r="Q808" s="34" t="str">
        <f>IF(A808="","",IFERROR(VLOOKUP(A808,'表3（采购界面）'!A:Z,11,0),"NA"))</f>
        <v/>
      </c>
      <c r="R808" s="34" t="str">
        <f t="shared" si="96"/>
        <v/>
      </c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</row>
    <row r="809" spans="10:33" x14ac:dyDescent="0.2">
      <c r="J809" s="34"/>
      <c r="K809" s="34" t="str">
        <f t="shared" si="93"/>
        <v/>
      </c>
      <c r="L809" s="34" t="str">
        <f t="shared" si="91"/>
        <v/>
      </c>
      <c r="M809" s="34" t="str">
        <f t="shared" si="94"/>
        <v/>
      </c>
      <c r="N809" s="34" t="str">
        <f t="shared" si="95"/>
        <v/>
      </c>
      <c r="O809" s="34" t="str">
        <f t="shared" si="92"/>
        <v/>
      </c>
      <c r="P809" s="34" t="str">
        <f>IF(A809="","",IFERROR(VLOOKUP(A809,'表3（采购界面）'!A:J,10,0),"NA"))</f>
        <v/>
      </c>
      <c r="Q809" s="34" t="str">
        <f>IF(A809="","",IFERROR(VLOOKUP(A809,'表3（采购界面）'!A:Z,11,0),"NA"))</f>
        <v/>
      </c>
      <c r="R809" s="34" t="str">
        <f t="shared" si="96"/>
        <v/>
      </c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</row>
    <row r="810" spans="10:33" x14ac:dyDescent="0.2">
      <c r="J810" s="34"/>
      <c r="K810" s="34" t="str">
        <f t="shared" si="93"/>
        <v/>
      </c>
      <c r="L810" s="34" t="str">
        <f t="shared" si="91"/>
        <v/>
      </c>
      <c r="M810" s="34" t="str">
        <f t="shared" si="94"/>
        <v/>
      </c>
      <c r="N810" s="34" t="str">
        <f t="shared" si="95"/>
        <v/>
      </c>
      <c r="O810" s="34" t="str">
        <f t="shared" si="92"/>
        <v/>
      </c>
      <c r="P810" s="34" t="str">
        <f>IF(A810="","",IFERROR(VLOOKUP(A810,'表3（采购界面）'!A:J,10,0),"NA"))</f>
        <v/>
      </c>
      <c r="Q810" s="34" t="str">
        <f>IF(A810="","",IFERROR(VLOOKUP(A810,'表3（采购界面）'!A:Z,11,0),"NA"))</f>
        <v/>
      </c>
      <c r="R810" s="34" t="str">
        <f t="shared" si="96"/>
        <v/>
      </c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</row>
    <row r="811" spans="10:33" x14ac:dyDescent="0.2">
      <c r="J811" s="34"/>
      <c r="K811" s="34" t="str">
        <f t="shared" si="93"/>
        <v/>
      </c>
      <c r="L811" s="34" t="str">
        <f t="shared" si="91"/>
        <v/>
      </c>
      <c r="M811" s="34" t="str">
        <f t="shared" si="94"/>
        <v/>
      </c>
      <c r="N811" s="34" t="str">
        <f t="shared" si="95"/>
        <v/>
      </c>
      <c r="O811" s="34" t="str">
        <f t="shared" si="92"/>
        <v/>
      </c>
      <c r="P811" s="34" t="str">
        <f>IF(A811="","",IFERROR(VLOOKUP(A811,'表3（采购界面）'!A:J,10,0),"NA"))</f>
        <v/>
      </c>
      <c r="Q811" s="34" t="str">
        <f>IF(A811="","",IFERROR(VLOOKUP(A811,'表3（采购界面）'!A:Z,11,0),"NA"))</f>
        <v/>
      </c>
      <c r="R811" s="34" t="str">
        <f t="shared" si="96"/>
        <v/>
      </c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</row>
    <row r="812" spans="10:33" x14ac:dyDescent="0.2">
      <c r="J812" s="34"/>
      <c r="K812" s="34" t="str">
        <f t="shared" si="93"/>
        <v/>
      </c>
      <c r="L812" s="34" t="str">
        <f t="shared" si="91"/>
        <v/>
      </c>
      <c r="M812" s="34" t="str">
        <f t="shared" si="94"/>
        <v/>
      </c>
      <c r="N812" s="34" t="str">
        <f t="shared" si="95"/>
        <v/>
      </c>
      <c r="O812" s="34" t="str">
        <f t="shared" si="92"/>
        <v/>
      </c>
      <c r="P812" s="34" t="str">
        <f>IF(A812="","",IFERROR(VLOOKUP(A812,'表3（采购界面）'!A:J,10,0),"NA"))</f>
        <v/>
      </c>
      <c r="Q812" s="34" t="str">
        <f>IF(A812="","",IFERROR(VLOOKUP(A812,'表3（采购界面）'!A:Z,11,0),"NA"))</f>
        <v/>
      </c>
      <c r="R812" s="34" t="str">
        <f t="shared" si="96"/>
        <v/>
      </c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</row>
    <row r="813" spans="10:33" x14ac:dyDescent="0.2">
      <c r="J813" s="34"/>
      <c r="K813" s="34" t="str">
        <f t="shared" si="93"/>
        <v/>
      </c>
      <c r="L813" s="34" t="str">
        <f t="shared" si="91"/>
        <v/>
      </c>
      <c r="M813" s="34" t="str">
        <f t="shared" si="94"/>
        <v/>
      </c>
      <c r="N813" s="34" t="str">
        <f t="shared" si="95"/>
        <v/>
      </c>
      <c r="O813" s="34" t="str">
        <f t="shared" si="92"/>
        <v/>
      </c>
      <c r="P813" s="34" t="str">
        <f>IF(A813="","",IFERROR(VLOOKUP(A813,'表3（采购界面）'!A:J,10,0),"NA"))</f>
        <v/>
      </c>
      <c r="Q813" s="34" t="str">
        <f>IF(A813="","",IFERROR(VLOOKUP(A813,'表3（采购界面）'!A:Z,11,0),"NA"))</f>
        <v/>
      </c>
      <c r="R813" s="34" t="str">
        <f t="shared" si="96"/>
        <v/>
      </c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</row>
    <row r="814" spans="10:33" x14ac:dyDescent="0.2">
      <c r="J814" s="34"/>
      <c r="K814" s="34" t="str">
        <f t="shared" si="93"/>
        <v/>
      </c>
      <c r="L814" s="34" t="str">
        <f t="shared" si="91"/>
        <v/>
      </c>
      <c r="M814" s="34" t="str">
        <f t="shared" si="94"/>
        <v/>
      </c>
      <c r="N814" s="34" t="str">
        <f t="shared" si="95"/>
        <v/>
      </c>
      <c r="O814" s="34" t="str">
        <f t="shared" si="92"/>
        <v/>
      </c>
      <c r="P814" s="34" t="str">
        <f>IF(A814="","",IFERROR(VLOOKUP(A814,'表3（采购界面）'!A:J,10,0),"NA"))</f>
        <v/>
      </c>
      <c r="Q814" s="34" t="str">
        <f>IF(A814="","",IFERROR(VLOOKUP(A814,'表3（采购界面）'!A:Z,11,0),"NA"))</f>
        <v/>
      </c>
      <c r="R814" s="34" t="str">
        <f t="shared" si="96"/>
        <v/>
      </c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</row>
    <row r="815" spans="10:33" x14ac:dyDescent="0.2">
      <c r="J815" s="34"/>
      <c r="K815" s="34" t="str">
        <f t="shared" si="93"/>
        <v/>
      </c>
      <c r="L815" s="34" t="str">
        <f t="shared" si="91"/>
        <v/>
      </c>
      <c r="M815" s="34" t="str">
        <f t="shared" si="94"/>
        <v/>
      </c>
      <c r="N815" s="34" t="str">
        <f t="shared" si="95"/>
        <v/>
      </c>
      <c r="O815" s="34" t="str">
        <f t="shared" si="92"/>
        <v/>
      </c>
      <c r="P815" s="34" t="str">
        <f>IF(A815="","",IFERROR(VLOOKUP(A815,'表3（采购界面）'!A:J,10,0),"NA"))</f>
        <v/>
      </c>
      <c r="Q815" s="34" t="str">
        <f>IF(A815="","",IFERROR(VLOOKUP(A815,'表3（采购界面）'!A:Z,11,0),"NA"))</f>
        <v/>
      </c>
      <c r="R815" s="34" t="str">
        <f t="shared" si="96"/>
        <v/>
      </c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</row>
    <row r="816" spans="10:33" x14ac:dyDescent="0.2">
      <c r="J816" s="34"/>
      <c r="K816" s="34" t="str">
        <f t="shared" si="93"/>
        <v/>
      </c>
      <c r="L816" s="34" t="str">
        <f t="shared" si="91"/>
        <v/>
      </c>
      <c r="M816" s="34" t="str">
        <f t="shared" si="94"/>
        <v/>
      </c>
      <c r="N816" s="34" t="str">
        <f t="shared" si="95"/>
        <v/>
      </c>
      <c r="O816" s="34" t="str">
        <f t="shared" si="92"/>
        <v/>
      </c>
      <c r="P816" s="34" t="str">
        <f>IF(A816="","",IFERROR(VLOOKUP(A816,'表3（采购界面）'!A:J,10,0),"NA"))</f>
        <v/>
      </c>
      <c r="Q816" s="34" t="str">
        <f>IF(A816="","",IFERROR(VLOOKUP(A816,'表3（采购界面）'!A:Z,11,0),"NA"))</f>
        <v/>
      </c>
      <c r="R816" s="34" t="str">
        <f t="shared" si="96"/>
        <v/>
      </c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</row>
    <row r="817" spans="10:33" x14ac:dyDescent="0.2">
      <c r="J817" s="34"/>
      <c r="K817" s="34" t="str">
        <f t="shared" si="93"/>
        <v/>
      </c>
      <c r="L817" s="34" t="str">
        <f t="shared" si="91"/>
        <v/>
      </c>
      <c r="M817" s="34" t="str">
        <f t="shared" si="94"/>
        <v/>
      </c>
      <c r="N817" s="34" t="str">
        <f t="shared" si="95"/>
        <v/>
      </c>
      <c r="O817" s="34" t="str">
        <f t="shared" si="92"/>
        <v/>
      </c>
      <c r="P817" s="34" t="str">
        <f>IF(A817="","",IFERROR(VLOOKUP(A817,'表3（采购界面）'!A:J,10,0),"NA"))</f>
        <v/>
      </c>
      <c r="Q817" s="34" t="str">
        <f>IF(A817="","",IFERROR(VLOOKUP(A817,'表3（采购界面）'!A:Z,11,0),"NA"))</f>
        <v/>
      </c>
      <c r="R817" s="34" t="str">
        <f t="shared" si="96"/>
        <v/>
      </c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</row>
    <row r="818" spans="10:33" x14ac:dyDescent="0.2">
      <c r="J818" s="34"/>
      <c r="K818" s="34" t="str">
        <f t="shared" si="93"/>
        <v/>
      </c>
      <c r="L818" s="34" t="str">
        <f t="shared" si="91"/>
        <v/>
      </c>
      <c r="M818" s="34" t="str">
        <f t="shared" si="94"/>
        <v/>
      </c>
      <c r="N818" s="34" t="str">
        <f t="shared" si="95"/>
        <v/>
      </c>
      <c r="O818" s="34" t="str">
        <f t="shared" si="92"/>
        <v/>
      </c>
      <c r="P818" s="34" t="str">
        <f>IF(A818="","",IFERROR(VLOOKUP(A818,'表3（采购界面）'!A:J,10,0),"NA"))</f>
        <v/>
      </c>
      <c r="Q818" s="34" t="str">
        <f>IF(A818="","",IFERROR(VLOOKUP(A818,'表3（采购界面）'!A:Z,11,0),"NA"))</f>
        <v/>
      </c>
      <c r="R818" s="34" t="str">
        <f t="shared" si="96"/>
        <v/>
      </c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</row>
    <row r="819" spans="10:33" x14ac:dyDescent="0.2">
      <c r="J819" s="34"/>
      <c r="K819" s="34" t="str">
        <f t="shared" si="93"/>
        <v/>
      </c>
      <c r="L819" s="34" t="str">
        <f t="shared" si="91"/>
        <v/>
      </c>
      <c r="M819" s="34" t="str">
        <f t="shared" si="94"/>
        <v/>
      </c>
      <c r="N819" s="34" t="str">
        <f t="shared" si="95"/>
        <v/>
      </c>
      <c r="O819" s="34" t="str">
        <f t="shared" si="92"/>
        <v/>
      </c>
      <c r="P819" s="34" t="str">
        <f>IF(A819="","",IFERROR(VLOOKUP(A819,'表3（采购界面）'!A:J,10,0),"NA"))</f>
        <v/>
      </c>
      <c r="Q819" s="34" t="str">
        <f>IF(A819="","",IFERROR(VLOOKUP(A819,'表3（采购界面）'!A:Z,11,0),"NA"))</f>
        <v/>
      </c>
      <c r="R819" s="34" t="str">
        <f t="shared" si="96"/>
        <v/>
      </c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</row>
    <row r="820" spans="10:33" x14ac:dyDescent="0.2">
      <c r="J820" s="34"/>
      <c r="K820" s="34" t="str">
        <f t="shared" si="93"/>
        <v/>
      </c>
      <c r="L820" s="34" t="str">
        <f t="shared" si="91"/>
        <v/>
      </c>
      <c r="M820" s="34" t="str">
        <f t="shared" si="94"/>
        <v/>
      </c>
      <c r="N820" s="34" t="str">
        <f t="shared" si="95"/>
        <v/>
      </c>
      <c r="O820" s="34" t="str">
        <f t="shared" si="92"/>
        <v/>
      </c>
      <c r="P820" s="34" t="str">
        <f>IF(A820="","",IFERROR(VLOOKUP(A820,'表3（采购界面）'!A:J,10,0),"NA"))</f>
        <v/>
      </c>
      <c r="Q820" s="34" t="str">
        <f>IF(A820="","",IFERROR(VLOOKUP(A820,'表3（采购界面）'!A:Z,11,0),"NA"))</f>
        <v/>
      </c>
      <c r="R820" s="34" t="str">
        <f t="shared" si="96"/>
        <v/>
      </c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</row>
    <row r="821" spans="10:33" x14ac:dyDescent="0.2">
      <c r="J821" s="34"/>
      <c r="K821" s="34" t="str">
        <f t="shared" si="93"/>
        <v/>
      </c>
      <c r="L821" s="34" t="str">
        <f t="shared" si="91"/>
        <v/>
      </c>
      <c r="M821" s="34" t="str">
        <f t="shared" si="94"/>
        <v/>
      </c>
      <c r="N821" s="34" t="str">
        <f t="shared" si="95"/>
        <v/>
      </c>
      <c r="O821" s="34" t="str">
        <f t="shared" si="92"/>
        <v/>
      </c>
      <c r="P821" s="34" t="str">
        <f>IF(A821="","",IFERROR(VLOOKUP(A821,'表3（采购界面）'!A:J,10,0),"NA"))</f>
        <v/>
      </c>
      <c r="Q821" s="34" t="str">
        <f>IF(A821="","",IFERROR(VLOOKUP(A821,'表3（采购界面）'!A:Z,11,0),"NA"))</f>
        <v/>
      </c>
      <c r="R821" s="34" t="str">
        <f t="shared" si="96"/>
        <v/>
      </c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</row>
    <row r="822" spans="10:33" x14ac:dyDescent="0.2">
      <c r="J822" s="34"/>
      <c r="K822" s="34" t="str">
        <f t="shared" si="93"/>
        <v/>
      </c>
      <c r="L822" s="34" t="str">
        <f t="shared" si="91"/>
        <v/>
      </c>
      <c r="M822" s="34" t="str">
        <f t="shared" si="94"/>
        <v/>
      </c>
      <c r="N822" s="34" t="str">
        <f t="shared" si="95"/>
        <v/>
      </c>
      <c r="O822" s="34" t="str">
        <f t="shared" si="92"/>
        <v/>
      </c>
      <c r="P822" s="34" t="str">
        <f>IF(A822="","",IFERROR(VLOOKUP(A822,'表3（采购界面）'!A:J,10,0),"NA"))</f>
        <v/>
      </c>
      <c r="Q822" s="34" t="str">
        <f>IF(A822="","",IFERROR(VLOOKUP(A822,'表3（采购界面）'!A:Z,11,0),"NA"))</f>
        <v/>
      </c>
      <c r="R822" s="34" t="str">
        <f t="shared" si="96"/>
        <v/>
      </c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</row>
    <row r="823" spans="10:33" x14ac:dyDescent="0.2">
      <c r="J823" s="34"/>
      <c r="K823" s="34" t="str">
        <f t="shared" si="93"/>
        <v/>
      </c>
      <c r="L823" s="34" t="str">
        <f t="shared" si="91"/>
        <v/>
      </c>
      <c r="M823" s="34" t="str">
        <f t="shared" si="94"/>
        <v/>
      </c>
      <c r="N823" s="34" t="str">
        <f t="shared" si="95"/>
        <v/>
      </c>
      <c r="O823" s="34" t="str">
        <f t="shared" si="92"/>
        <v/>
      </c>
      <c r="P823" s="34" t="str">
        <f>IF(A823="","",IFERROR(VLOOKUP(A823,'表3（采购界面）'!A:J,10,0),"NA"))</f>
        <v/>
      </c>
      <c r="Q823" s="34" t="str">
        <f>IF(A823="","",IFERROR(VLOOKUP(A823,'表3（采购界面）'!A:Z,11,0),"NA"))</f>
        <v/>
      </c>
      <c r="R823" s="34" t="str">
        <f t="shared" si="96"/>
        <v/>
      </c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</row>
    <row r="824" spans="10:33" x14ac:dyDescent="0.2">
      <c r="J824" s="34"/>
      <c r="K824" s="34" t="str">
        <f t="shared" si="93"/>
        <v/>
      </c>
      <c r="L824" s="34" t="str">
        <f t="shared" si="91"/>
        <v/>
      </c>
      <c r="M824" s="34" t="str">
        <f t="shared" si="94"/>
        <v/>
      </c>
      <c r="N824" s="34" t="str">
        <f t="shared" si="95"/>
        <v/>
      </c>
      <c r="O824" s="34" t="str">
        <f t="shared" si="92"/>
        <v/>
      </c>
      <c r="P824" s="34" t="str">
        <f>IF(A824="","",IFERROR(VLOOKUP(A824,'表3（采购界面）'!A:J,10,0),"NA"))</f>
        <v/>
      </c>
      <c r="Q824" s="34" t="str">
        <f>IF(A824="","",IFERROR(VLOOKUP(A824,'表3（采购界面）'!A:Z,11,0),"NA"))</f>
        <v/>
      </c>
      <c r="R824" s="34" t="str">
        <f t="shared" si="96"/>
        <v/>
      </c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</row>
    <row r="825" spans="10:33" x14ac:dyDescent="0.2">
      <c r="J825" s="34"/>
      <c r="K825" s="34" t="str">
        <f t="shared" si="93"/>
        <v/>
      </c>
      <c r="L825" s="34" t="str">
        <f t="shared" si="91"/>
        <v/>
      </c>
      <c r="M825" s="34" t="str">
        <f t="shared" si="94"/>
        <v/>
      </c>
      <c r="N825" s="34" t="str">
        <f t="shared" si="95"/>
        <v/>
      </c>
      <c r="O825" s="34" t="str">
        <f t="shared" si="92"/>
        <v/>
      </c>
      <c r="P825" s="34" t="str">
        <f>IF(A825="","",IFERROR(VLOOKUP(A825,'表3（采购界面）'!A:J,10,0),"NA"))</f>
        <v/>
      </c>
      <c r="Q825" s="34" t="str">
        <f>IF(A825="","",IFERROR(VLOOKUP(A825,'表3（采购界面）'!A:Z,11,0),"NA"))</f>
        <v/>
      </c>
      <c r="R825" s="34" t="str">
        <f t="shared" si="96"/>
        <v/>
      </c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</row>
    <row r="826" spans="10:33" x14ac:dyDescent="0.2">
      <c r="J826" s="34"/>
      <c r="K826" s="34" t="str">
        <f t="shared" si="93"/>
        <v/>
      </c>
      <c r="L826" s="34" t="str">
        <f t="shared" si="91"/>
        <v/>
      </c>
      <c r="M826" s="34" t="str">
        <f t="shared" si="94"/>
        <v/>
      </c>
      <c r="N826" s="34" t="str">
        <f t="shared" si="95"/>
        <v/>
      </c>
      <c r="O826" s="34" t="str">
        <f t="shared" si="92"/>
        <v/>
      </c>
      <c r="P826" s="34" t="str">
        <f>IF(A826="","",IFERROR(VLOOKUP(A826,'表3（采购界面）'!A:J,10,0),"NA"))</f>
        <v/>
      </c>
      <c r="Q826" s="34" t="str">
        <f>IF(A826="","",IFERROR(VLOOKUP(A826,'表3（采购界面）'!A:Z,11,0),"NA"))</f>
        <v/>
      </c>
      <c r="R826" s="34" t="str">
        <f t="shared" si="96"/>
        <v/>
      </c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</row>
    <row r="827" spans="10:33" x14ac:dyDescent="0.2">
      <c r="J827" s="34"/>
      <c r="K827" s="34" t="str">
        <f t="shared" si="93"/>
        <v/>
      </c>
      <c r="L827" s="34" t="str">
        <f t="shared" si="91"/>
        <v/>
      </c>
      <c r="M827" s="34" t="str">
        <f t="shared" si="94"/>
        <v/>
      </c>
      <c r="N827" s="34" t="str">
        <f t="shared" si="95"/>
        <v/>
      </c>
      <c r="O827" s="34" t="str">
        <f t="shared" si="92"/>
        <v/>
      </c>
      <c r="P827" s="34" t="str">
        <f>IF(A827="","",IFERROR(VLOOKUP(A827,'表3（采购界面）'!A:J,10,0),"NA"))</f>
        <v/>
      </c>
      <c r="Q827" s="34" t="str">
        <f>IF(A827="","",IFERROR(VLOOKUP(A827,'表3（采购界面）'!A:Z,11,0),"NA"))</f>
        <v/>
      </c>
      <c r="R827" s="34" t="str">
        <f t="shared" si="96"/>
        <v/>
      </c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</row>
    <row r="828" spans="10:33" x14ac:dyDescent="0.2">
      <c r="J828" s="34"/>
      <c r="K828" s="34" t="str">
        <f t="shared" si="93"/>
        <v/>
      </c>
      <c r="L828" s="34" t="str">
        <f t="shared" si="91"/>
        <v/>
      </c>
      <c r="M828" s="34" t="str">
        <f t="shared" si="94"/>
        <v/>
      </c>
      <c r="N828" s="34" t="str">
        <f t="shared" si="95"/>
        <v/>
      </c>
      <c r="O828" s="34" t="str">
        <f t="shared" si="92"/>
        <v/>
      </c>
      <c r="P828" s="34" t="str">
        <f>IF(A828="","",IFERROR(VLOOKUP(A828,'表3（采购界面）'!A:J,10,0),"NA"))</f>
        <v/>
      </c>
      <c r="Q828" s="34" t="str">
        <f>IF(A828="","",IFERROR(VLOOKUP(A828,'表3（采购界面）'!A:Z,11,0),"NA"))</f>
        <v/>
      </c>
      <c r="R828" s="34" t="str">
        <f t="shared" si="96"/>
        <v/>
      </c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</row>
    <row r="829" spans="10:33" x14ac:dyDescent="0.2">
      <c r="J829" s="34"/>
      <c r="K829" s="34" t="str">
        <f t="shared" si="93"/>
        <v/>
      </c>
      <c r="L829" s="34" t="str">
        <f t="shared" si="91"/>
        <v/>
      </c>
      <c r="M829" s="34" t="str">
        <f t="shared" si="94"/>
        <v/>
      </c>
      <c r="N829" s="34" t="str">
        <f t="shared" si="95"/>
        <v/>
      </c>
      <c r="O829" s="34" t="str">
        <f t="shared" si="92"/>
        <v/>
      </c>
      <c r="P829" s="34" t="str">
        <f>IF(A829="","",IFERROR(VLOOKUP(A829,'表3（采购界面）'!A:J,10,0),"NA"))</f>
        <v/>
      </c>
      <c r="Q829" s="34" t="str">
        <f>IF(A829="","",IFERROR(VLOOKUP(A829,'表3（采购界面）'!A:Z,11,0),"NA"))</f>
        <v/>
      </c>
      <c r="R829" s="34" t="str">
        <f t="shared" si="96"/>
        <v/>
      </c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</row>
    <row r="830" spans="10:33" x14ac:dyDescent="0.2">
      <c r="J830" s="34"/>
      <c r="K830" s="34" t="str">
        <f t="shared" si="93"/>
        <v/>
      </c>
      <c r="L830" s="34" t="str">
        <f t="shared" si="91"/>
        <v/>
      </c>
      <c r="M830" s="34" t="str">
        <f t="shared" si="94"/>
        <v/>
      </c>
      <c r="N830" s="34" t="str">
        <f t="shared" si="95"/>
        <v/>
      </c>
      <c r="O830" s="34" t="str">
        <f t="shared" si="92"/>
        <v/>
      </c>
      <c r="P830" s="34" t="str">
        <f>IF(A830="","",IFERROR(VLOOKUP(A830,'表3（采购界面）'!A:J,10,0),"NA"))</f>
        <v/>
      </c>
      <c r="Q830" s="34" t="str">
        <f>IF(A830="","",IFERROR(VLOOKUP(A830,'表3（采购界面）'!A:Z,11,0),"NA"))</f>
        <v/>
      </c>
      <c r="R830" s="34" t="str">
        <f t="shared" si="96"/>
        <v/>
      </c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</row>
    <row r="831" spans="10:33" x14ac:dyDescent="0.2">
      <c r="J831" s="34"/>
      <c r="K831" s="34" t="str">
        <f t="shared" si="93"/>
        <v/>
      </c>
      <c r="L831" s="34" t="str">
        <f t="shared" si="91"/>
        <v/>
      </c>
      <c r="M831" s="34" t="str">
        <f t="shared" si="94"/>
        <v/>
      </c>
      <c r="N831" s="34" t="str">
        <f t="shared" si="95"/>
        <v/>
      </c>
      <c r="O831" s="34" t="str">
        <f t="shared" si="92"/>
        <v/>
      </c>
      <c r="P831" s="34" t="str">
        <f>IF(A831="","",IFERROR(VLOOKUP(A831,'表3（采购界面）'!A:J,10,0),"NA"))</f>
        <v/>
      </c>
      <c r="Q831" s="34" t="str">
        <f>IF(A831="","",IFERROR(VLOOKUP(A831,'表3（采购界面）'!A:Z,11,0),"NA"))</f>
        <v/>
      </c>
      <c r="R831" s="34" t="str">
        <f t="shared" si="96"/>
        <v/>
      </c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</row>
    <row r="832" spans="10:33" x14ac:dyDescent="0.2">
      <c r="J832" s="34"/>
      <c r="K832" s="34" t="str">
        <f t="shared" si="93"/>
        <v/>
      </c>
      <c r="L832" s="34" t="str">
        <f t="shared" si="91"/>
        <v/>
      </c>
      <c r="M832" s="34" t="str">
        <f t="shared" si="94"/>
        <v/>
      </c>
      <c r="N832" s="34" t="str">
        <f t="shared" si="95"/>
        <v/>
      </c>
      <c r="O832" s="34" t="str">
        <f t="shared" si="92"/>
        <v/>
      </c>
      <c r="P832" s="34" t="str">
        <f>IF(A832="","",IFERROR(VLOOKUP(A832,'表3（采购界面）'!A:J,10,0),"NA"))</f>
        <v/>
      </c>
      <c r="Q832" s="34" t="str">
        <f>IF(A832="","",IFERROR(VLOOKUP(A832,'表3（采购界面）'!A:Z,11,0),"NA"))</f>
        <v/>
      </c>
      <c r="R832" s="34" t="str">
        <f t="shared" si="96"/>
        <v/>
      </c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</row>
    <row r="833" spans="10:33" x14ac:dyDescent="0.2">
      <c r="J833" s="34"/>
      <c r="K833" s="34" t="str">
        <f t="shared" si="93"/>
        <v/>
      </c>
      <c r="L833" s="34" t="str">
        <f t="shared" si="91"/>
        <v/>
      </c>
      <c r="M833" s="34" t="str">
        <f t="shared" si="94"/>
        <v/>
      </c>
      <c r="N833" s="34" t="str">
        <f t="shared" si="95"/>
        <v/>
      </c>
      <c r="O833" s="34" t="str">
        <f t="shared" si="92"/>
        <v/>
      </c>
      <c r="P833" s="34" t="str">
        <f>IF(A833="","",IFERROR(VLOOKUP(A833,'表3（采购界面）'!A:J,10,0),"NA"))</f>
        <v/>
      </c>
      <c r="Q833" s="34" t="str">
        <f>IF(A833="","",IFERROR(VLOOKUP(A833,'表3（采购界面）'!A:Z,11,0),"NA"))</f>
        <v/>
      </c>
      <c r="R833" s="34" t="str">
        <f t="shared" si="96"/>
        <v/>
      </c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</row>
    <row r="834" spans="10:33" x14ac:dyDescent="0.2">
      <c r="J834" s="34"/>
      <c r="K834" s="34" t="str">
        <f t="shared" si="93"/>
        <v/>
      </c>
      <c r="L834" s="34" t="str">
        <f t="shared" si="91"/>
        <v/>
      </c>
      <c r="M834" s="34" t="str">
        <f t="shared" si="94"/>
        <v/>
      </c>
      <c r="N834" s="34" t="str">
        <f t="shared" si="95"/>
        <v/>
      </c>
      <c r="O834" s="34" t="str">
        <f t="shared" si="92"/>
        <v/>
      </c>
      <c r="P834" s="34" t="str">
        <f>IF(A834="","",IFERROR(VLOOKUP(A834,'表3（采购界面）'!A:J,10,0),"NA"))</f>
        <v/>
      </c>
      <c r="Q834" s="34" t="str">
        <f>IF(A834="","",IFERROR(VLOOKUP(A834,'表3（采购界面）'!A:Z,11,0),"NA"))</f>
        <v/>
      </c>
      <c r="R834" s="34" t="str">
        <f t="shared" si="96"/>
        <v/>
      </c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</row>
    <row r="835" spans="10:33" x14ac:dyDescent="0.2">
      <c r="J835" s="34"/>
      <c r="K835" s="34" t="str">
        <f t="shared" si="93"/>
        <v/>
      </c>
      <c r="L835" s="34" t="str">
        <f t="shared" si="91"/>
        <v/>
      </c>
      <c r="M835" s="34" t="str">
        <f t="shared" si="94"/>
        <v/>
      </c>
      <c r="N835" s="34" t="str">
        <f t="shared" si="95"/>
        <v/>
      </c>
      <c r="O835" s="34" t="str">
        <f t="shared" si="92"/>
        <v/>
      </c>
      <c r="P835" s="34" t="str">
        <f>IF(A835="","",IFERROR(VLOOKUP(A835,'表3（采购界面）'!A:J,10,0),"NA"))</f>
        <v/>
      </c>
      <c r="Q835" s="34" t="str">
        <f>IF(A835="","",IFERROR(VLOOKUP(A835,'表3（采购界面）'!A:Z,11,0),"NA"))</f>
        <v/>
      </c>
      <c r="R835" s="34" t="str">
        <f t="shared" si="96"/>
        <v/>
      </c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</row>
    <row r="836" spans="10:33" x14ac:dyDescent="0.2">
      <c r="J836" s="34"/>
      <c r="K836" s="34" t="str">
        <f t="shared" si="93"/>
        <v/>
      </c>
      <c r="L836" s="34" t="str">
        <f t="shared" si="91"/>
        <v/>
      </c>
      <c r="M836" s="34" t="str">
        <f t="shared" si="94"/>
        <v/>
      </c>
      <c r="N836" s="34" t="str">
        <f t="shared" si="95"/>
        <v/>
      </c>
      <c r="O836" s="34" t="str">
        <f t="shared" si="92"/>
        <v/>
      </c>
      <c r="P836" s="34" t="str">
        <f>IF(A836="","",IFERROR(VLOOKUP(A836,'表3（采购界面）'!A:J,10,0),"NA"))</f>
        <v/>
      </c>
      <c r="Q836" s="34" t="str">
        <f>IF(A836="","",IFERROR(VLOOKUP(A836,'表3（采购界面）'!A:Z,11,0),"NA"))</f>
        <v/>
      </c>
      <c r="R836" s="34" t="str">
        <f t="shared" si="96"/>
        <v/>
      </c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</row>
    <row r="837" spans="10:33" x14ac:dyDescent="0.2">
      <c r="J837" s="34"/>
      <c r="K837" s="34" t="str">
        <f t="shared" si="93"/>
        <v/>
      </c>
      <c r="L837" s="34" t="str">
        <f t="shared" ref="L837:L900" si="97">_xlfn.IFS(LEFT(A837)="1","MB",LEFT(A837)="2","WB",LEFT(A837)="3","WB",AND(LEFT(A837)="4",D837&lt;&gt;"中国",J837&lt;&gt;"Y01"),"FX",A837&lt;&gt;"","EX",A837="","")</f>
        <v/>
      </c>
      <c r="M837" s="34" t="str">
        <f t="shared" si="94"/>
        <v/>
      </c>
      <c r="N837" s="34" t="str">
        <f t="shared" si="95"/>
        <v/>
      </c>
      <c r="O837" s="34" t="str">
        <f t="shared" ref="O837:O900" si="98">IF(OR(LEFT(A837,1)="4",LEFT(A837,1)="5"),"NA","")</f>
        <v/>
      </c>
      <c r="P837" s="34" t="str">
        <f>IF(A837="","",IFERROR(VLOOKUP(A837,'表3（采购界面）'!A:J,10,0),"NA"))</f>
        <v/>
      </c>
      <c r="Q837" s="34" t="str">
        <f>IF(A837="","",IFERROR(VLOOKUP(A837,'表3（采购界面）'!A:Z,11,0),"NA"))</f>
        <v/>
      </c>
      <c r="R837" s="34" t="str">
        <f t="shared" si="96"/>
        <v/>
      </c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</row>
    <row r="838" spans="10:33" x14ac:dyDescent="0.2">
      <c r="J838" s="34"/>
      <c r="K838" s="34" t="str">
        <f t="shared" ref="K838:K901" si="99">_xlfn.IFS(AND(LEFT(A838,1)="4",D838="中国"),"ND",AND(LEFT(A838,1)="5",D838="中国"),"ND",AND(LEFT(A838,1)="5",D838&lt;&gt;"中国"),"M2",A838="","",A838&lt;&gt;"","PD")</f>
        <v/>
      </c>
      <c r="L838" s="34" t="str">
        <f t="shared" si="97"/>
        <v/>
      </c>
      <c r="M838" s="34" t="str">
        <f t="shared" ref="M838:M901" si="100">IF(OR(L838="FX",L838=""),"","NA")</f>
        <v/>
      </c>
      <c r="N838" s="34" t="str">
        <f t="shared" ref="N838:N901" si="101">IF(A838="","","NA")</f>
        <v/>
      </c>
      <c r="O838" s="34" t="str">
        <f t="shared" si="98"/>
        <v/>
      </c>
      <c r="P838" s="34" t="str">
        <f>IF(A838="","",IFERROR(VLOOKUP(A838,'表3（采购界面）'!A:J,10,0),"NA"))</f>
        <v/>
      </c>
      <c r="Q838" s="34" t="str">
        <f>IF(A838="","",IFERROR(VLOOKUP(A838,'表3（采购界面）'!A:Z,11,0),"NA"))</f>
        <v/>
      </c>
      <c r="R838" s="34" t="str">
        <f t="shared" ref="R838:R901" si="102">IF(A838="","",IF(OR(LEFT(A838,1)="1",LEFT(A838,1)="2",LEFT(A838,1)="3"),"F","E"))</f>
        <v/>
      </c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</row>
    <row r="839" spans="10:33" x14ac:dyDescent="0.2">
      <c r="J839" s="34"/>
      <c r="K839" s="34" t="str">
        <f t="shared" si="99"/>
        <v/>
      </c>
      <c r="L839" s="34" t="str">
        <f t="shared" si="97"/>
        <v/>
      </c>
      <c r="M839" s="34" t="str">
        <f t="shared" si="100"/>
        <v/>
      </c>
      <c r="N839" s="34" t="str">
        <f t="shared" si="101"/>
        <v/>
      </c>
      <c r="O839" s="34" t="str">
        <f t="shared" si="98"/>
        <v/>
      </c>
      <c r="P839" s="34" t="str">
        <f>IF(A839="","",IFERROR(VLOOKUP(A839,'表3（采购界面）'!A:J,10,0),"NA"))</f>
        <v/>
      </c>
      <c r="Q839" s="34" t="str">
        <f>IF(A839="","",IFERROR(VLOOKUP(A839,'表3（采购界面）'!A:Z,11,0),"NA"))</f>
        <v/>
      </c>
      <c r="R839" s="34" t="str">
        <f t="shared" si="102"/>
        <v/>
      </c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</row>
    <row r="840" spans="10:33" x14ac:dyDescent="0.2">
      <c r="J840" s="34"/>
      <c r="K840" s="34" t="str">
        <f t="shared" si="99"/>
        <v/>
      </c>
      <c r="L840" s="34" t="str">
        <f t="shared" si="97"/>
        <v/>
      </c>
      <c r="M840" s="34" t="str">
        <f t="shared" si="100"/>
        <v/>
      </c>
      <c r="N840" s="34" t="str">
        <f t="shared" si="101"/>
        <v/>
      </c>
      <c r="O840" s="34" t="str">
        <f t="shared" si="98"/>
        <v/>
      </c>
      <c r="P840" s="34" t="str">
        <f>IF(A840="","",IFERROR(VLOOKUP(A840,'表3（采购界面）'!A:J,10,0),"NA"))</f>
        <v/>
      </c>
      <c r="Q840" s="34" t="str">
        <f>IF(A840="","",IFERROR(VLOOKUP(A840,'表3（采购界面）'!A:Z,11,0),"NA"))</f>
        <v/>
      </c>
      <c r="R840" s="34" t="str">
        <f t="shared" si="102"/>
        <v/>
      </c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</row>
    <row r="841" spans="10:33" x14ac:dyDescent="0.2">
      <c r="J841" s="34"/>
      <c r="K841" s="34" t="str">
        <f t="shared" si="99"/>
        <v/>
      </c>
      <c r="L841" s="34" t="str">
        <f t="shared" si="97"/>
        <v/>
      </c>
      <c r="M841" s="34" t="str">
        <f t="shared" si="100"/>
        <v/>
      </c>
      <c r="N841" s="34" t="str">
        <f t="shared" si="101"/>
        <v/>
      </c>
      <c r="O841" s="34" t="str">
        <f t="shared" si="98"/>
        <v/>
      </c>
      <c r="P841" s="34" t="str">
        <f>IF(A841="","",IFERROR(VLOOKUP(A841,'表3（采购界面）'!A:J,10,0),"NA"))</f>
        <v/>
      </c>
      <c r="Q841" s="34" t="str">
        <f>IF(A841="","",IFERROR(VLOOKUP(A841,'表3（采购界面）'!A:Z,11,0),"NA"))</f>
        <v/>
      </c>
      <c r="R841" s="34" t="str">
        <f t="shared" si="102"/>
        <v/>
      </c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</row>
    <row r="842" spans="10:33" x14ac:dyDescent="0.2">
      <c r="J842" s="34"/>
      <c r="K842" s="34" t="str">
        <f t="shared" si="99"/>
        <v/>
      </c>
      <c r="L842" s="34" t="str">
        <f t="shared" si="97"/>
        <v/>
      </c>
      <c r="M842" s="34" t="str">
        <f t="shared" si="100"/>
        <v/>
      </c>
      <c r="N842" s="34" t="str">
        <f t="shared" si="101"/>
        <v/>
      </c>
      <c r="O842" s="34" t="str">
        <f t="shared" si="98"/>
        <v/>
      </c>
      <c r="P842" s="34" t="str">
        <f>IF(A842="","",IFERROR(VLOOKUP(A842,'表3（采购界面）'!A:J,10,0),"NA"))</f>
        <v/>
      </c>
      <c r="Q842" s="34" t="str">
        <f>IF(A842="","",IFERROR(VLOOKUP(A842,'表3（采购界面）'!A:Z,11,0),"NA"))</f>
        <v/>
      </c>
      <c r="R842" s="34" t="str">
        <f t="shared" si="102"/>
        <v/>
      </c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</row>
    <row r="843" spans="10:33" x14ac:dyDescent="0.2">
      <c r="J843" s="34"/>
      <c r="K843" s="34" t="str">
        <f t="shared" si="99"/>
        <v/>
      </c>
      <c r="L843" s="34" t="str">
        <f t="shared" si="97"/>
        <v/>
      </c>
      <c r="M843" s="34" t="str">
        <f t="shared" si="100"/>
        <v/>
      </c>
      <c r="N843" s="34" t="str">
        <f t="shared" si="101"/>
        <v/>
      </c>
      <c r="O843" s="34" t="str">
        <f t="shared" si="98"/>
        <v/>
      </c>
      <c r="P843" s="34" t="str">
        <f>IF(A843="","",IFERROR(VLOOKUP(A843,'表3（采购界面）'!A:J,10,0),"NA"))</f>
        <v/>
      </c>
      <c r="Q843" s="34" t="str">
        <f>IF(A843="","",IFERROR(VLOOKUP(A843,'表3（采购界面）'!A:Z,11,0),"NA"))</f>
        <v/>
      </c>
      <c r="R843" s="34" t="str">
        <f t="shared" si="102"/>
        <v/>
      </c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</row>
    <row r="844" spans="10:33" x14ac:dyDescent="0.2">
      <c r="J844" s="34"/>
      <c r="K844" s="34" t="str">
        <f t="shared" si="99"/>
        <v/>
      </c>
      <c r="L844" s="34" t="str">
        <f t="shared" si="97"/>
        <v/>
      </c>
      <c r="M844" s="34" t="str">
        <f t="shared" si="100"/>
        <v/>
      </c>
      <c r="N844" s="34" t="str">
        <f t="shared" si="101"/>
        <v/>
      </c>
      <c r="O844" s="34" t="str">
        <f t="shared" si="98"/>
        <v/>
      </c>
      <c r="P844" s="34" t="str">
        <f>IF(A844="","",IFERROR(VLOOKUP(A844,'表3（采购界面）'!A:J,10,0),"NA"))</f>
        <v/>
      </c>
      <c r="Q844" s="34" t="str">
        <f>IF(A844="","",IFERROR(VLOOKUP(A844,'表3（采购界面）'!A:Z,11,0),"NA"))</f>
        <v/>
      </c>
      <c r="R844" s="34" t="str">
        <f t="shared" si="102"/>
        <v/>
      </c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</row>
    <row r="845" spans="10:33" x14ac:dyDescent="0.2">
      <c r="J845" s="34"/>
      <c r="K845" s="34" t="str">
        <f t="shared" si="99"/>
        <v/>
      </c>
      <c r="L845" s="34" t="str">
        <f t="shared" si="97"/>
        <v/>
      </c>
      <c r="M845" s="34" t="str">
        <f t="shared" si="100"/>
        <v/>
      </c>
      <c r="N845" s="34" t="str">
        <f t="shared" si="101"/>
        <v/>
      </c>
      <c r="O845" s="34" t="str">
        <f t="shared" si="98"/>
        <v/>
      </c>
      <c r="P845" s="34" t="str">
        <f>IF(A845="","",IFERROR(VLOOKUP(A845,'表3（采购界面）'!A:J,10,0),"NA"))</f>
        <v/>
      </c>
      <c r="Q845" s="34" t="str">
        <f>IF(A845="","",IFERROR(VLOOKUP(A845,'表3（采购界面）'!A:Z,11,0),"NA"))</f>
        <v/>
      </c>
      <c r="R845" s="34" t="str">
        <f t="shared" si="102"/>
        <v/>
      </c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</row>
    <row r="846" spans="10:33" x14ac:dyDescent="0.2">
      <c r="J846" s="34"/>
      <c r="K846" s="34" t="str">
        <f t="shared" si="99"/>
        <v/>
      </c>
      <c r="L846" s="34" t="str">
        <f t="shared" si="97"/>
        <v/>
      </c>
      <c r="M846" s="34" t="str">
        <f t="shared" si="100"/>
        <v/>
      </c>
      <c r="N846" s="34" t="str">
        <f t="shared" si="101"/>
        <v/>
      </c>
      <c r="O846" s="34" t="str">
        <f t="shared" si="98"/>
        <v/>
      </c>
      <c r="P846" s="34" t="str">
        <f>IF(A846="","",IFERROR(VLOOKUP(A846,'表3（采购界面）'!A:J,10,0),"NA"))</f>
        <v/>
      </c>
      <c r="Q846" s="34" t="str">
        <f>IF(A846="","",IFERROR(VLOOKUP(A846,'表3（采购界面）'!A:Z,11,0),"NA"))</f>
        <v/>
      </c>
      <c r="R846" s="34" t="str">
        <f t="shared" si="102"/>
        <v/>
      </c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</row>
    <row r="847" spans="10:33" x14ac:dyDescent="0.2">
      <c r="J847" s="34"/>
      <c r="K847" s="34" t="str">
        <f t="shared" si="99"/>
        <v/>
      </c>
      <c r="L847" s="34" t="str">
        <f t="shared" si="97"/>
        <v/>
      </c>
      <c r="M847" s="34" t="str">
        <f t="shared" si="100"/>
        <v/>
      </c>
      <c r="N847" s="34" t="str">
        <f t="shared" si="101"/>
        <v/>
      </c>
      <c r="O847" s="34" t="str">
        <f t="shared" si="98"/>
        <v/>
      </c>
      <c r="P847" s="34" t="str">
        <f>IF(A847="","",IFERROR(VLOOKUP(A847,'表3（采购界面）'!A:J,10,0),"NA"))</f>
        <v/>
      </c>
      <c r="Q847" s="34" t="str">
        <f>IF(A847="","",IFERROR(VLOOKUP(A847,'表3（采购界面）'!A:Z,11,0),"NA"))</f>
        <v/>
      </c>
      <c r="R847" s="34" t="str">
        <f t="shared" si="102"/>
        <v/>
      </c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</row>
    <row r="848" spans="10:33" x14ac:dyDescent="0.2">
      <c r="J848" s="34"/>
      <c r="K848" s="34" t="str">
        <f t="shared" si="99"/>
        <v/>
      </c>
      <c r="L848" s="34" t="str">
        <f t="shared" si="97"/>
        <v/>
      </c>
      <c r="M848" s="34" t="str">
        <f t="shared" si="100"/>
        <v/>
      </c>
      <c r="N848" s="34" t="str">
        <f t="shared" si="101"/>
        <v/>
      </c>
      <c r="O848" s="34" t="str">
        <f t="shared" si="98"/>
        <v/>
      </c>
      <c r="P848" s="34" t="str">
        <f>IF(A848="","",IFERROR(VLOOKUP(A848,'表3（采购界面）'!A:J,10,0),"NA"))</f>
        <v/>
      </c>
      <c r="Q848" s="34" t="str">
        <f>IF(A848="","",IFERROR(VLOOKUP(A848,'表3（采购界面）'!A:Z,11,0),"NA"))</f>
        <v/>
      </c>
      <c r="R848" s="34" t="str">
        <f t="shared" si="102"/>
        <v/>
      </c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</row>
    <row r="849" spans="10:33" x14ac:dyDescent="0.2">
      <c r="J849" s="34"/>
      <c r="K849" s="34" t="str">
        <f t="shared" si="99"/>
        <v/>
      </c>
      <c r="L849" s="34" t="str">
        <f t="shared" si="97"/>
        <v/>
      </c>
      <c r="M849" s="34" t="str">
        <f t="shared" si="100"/>
        <v/>
      </c>
      <c r="N849" s="34" t="str">
        <f t="shared" si="101"/>
        <v/>
      </c>
      <c r="O849" s="34" t="str">
        <f t="shared" si="98"/>
        <v/>
      </c>
      <c r="P849" s="34" t="str">
        <f>IF(A849="","",IFERROR(VLOOKUP(A849,'表3（采购界面）'!A:J,10,0),"NA"))</f>
        <v/>
      </c>
      <c r="Q849" s="34" t="str">
        <f>IF(A849="","",IFERROR(VLOOKUP(A849,'表3（采购界面）'!A:Z,11,0),"NA"))</f>
        <v/>
      </c>
      <c r="R849" s="34" t="str">
        <f t="shared" si="102"/>
        <v/>
      </c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</row>
    <row r="850" spans="10:33" x14ac:dyDescent="0.2">
      <c r="J850" s="34"/>
      <c r="K850" s="34" t="str">
        <f t="shared" si="99"/>
        <v/>
      </c>
      <c r="L850" s="34" t="str">
        <f t="shared" si="97"/>
        <v/>
      </c>
      <c r="M850" s="34" t="str">
        <f t="shared" si="100"/>
        <v/>
      </c>
      <c r="N850" s="34" t="str">
        <f t="shared" si="101"/>
        <v/>
      </c>
      <c r="O850" s="34" t="str">
        <f t="shared" si="98"/>
        <v/>
      </c>
      <c r="P850" s="34" t="str">
        <f>IF(A850="","",IFERROR(VLOOKUP(A850,'表3（采购界面）'!A:J,10,0),"NA"))</f>
        <v/>
      </c>
      <c r="Q850" s="34" t="str">
        <f>IF(A850="","",IFERROR(VLOOKUP(A850,'表3（采购界面）'!A:Z,11,0),"NA"))</f>
        <v/>
      </c>
      <c r="R850" s="34" t="str">
        <f t="shared" si="102"/>
        <v/>
      </c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</row>
    <row r="851" spans="10:33" x14ac:dyDescent="0.2">
      <c r="J851" s="34"/>
      <c r="K851" s="34" t="str">
        <f t="shared" si="99"/>
        <v/>
      </c>
      <c r="L851" s="34" t="str">
        <f t="shared" si="97"/>
        <v/>
      </c>
      <c r="M851" s="34" t="str">
        <f t="shared" si="100"/>
        <v/>
      </c>
      <c r="N851" s="34" t="str">
        <f t="shared" si="101"/>
        <v/>
      </c>
      <c r="O851" s="34" t="str">
        <f t="shared" si="98"/>
        <v/>
      </c>
      <c r="P851" s="34" t="str">
        <f>IF(A851="","",IFERROR(VLOOKUP(A851,'表3（采购界面）'!A:J,10,0),"NA"))</f>
        <v/>
      </c>
      <c r="Q851" s="34" t="str">
        <f>IF(A851="","",IFERROR(VLOOKUP(A851,'表3（采购界面）'!A:Z,11,0),"NA"))</f>
        <v/>
      </c>
      <c r="R851" s="34" t="str">
        <f t="shared" si="102"/>
        <v/>
      </c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</row>
    <row r="852" spans="10:33" x14ac:dyDescent="0.2">
      <c r="J852" s="34"/>
      <c r="K852" s="34" t="str">
        <f t="shared" si="99"/>
        <v/>
      </c>
      <c r="L852" s="34" t="str">
        <f t="shared" si="97"/>
        <v/>
      </c>
      <c r="M852" s="34" t="str">
        <f t="shared" si="100"/>
        <v/>
      </c>
      <c r="N852" s="34" t="str">
        <f t="shared" si="101"/>
        <v/>
      </c>
      <c r="O852" s="34" t="str">
        <f t="shared" si="98"/>
        <v/>
      </c>
      <c r="P852" s="34" t="str">
        <f>IF(A852="","",IFERROR(VLOOKUP(A852,'表3（采购界面）'!A:J,10,0),"NA"))</f>
        <v/>
      </c>
      <c r="Q852" s="34" t="str">
        <f>IF(A852="","",IFERROR(VLOOKUP(A852,'表3（采购界面）'!A:Z,11,0),"NA"))</f>
        <v/>
      </c>
      <c r="R852" s="34" t="str">
        <f t="shared" si="102"/>
        <v/>
      </c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</row>
    <row r="853" spans="10:33" x14ac:dyDescent="0.2">
      <c r="J853" s="34"/>
      <c r="K853" s="34" t="str">
        <f t="shared" si="99"/>
        <v/>
      </c>
      <c r="L853" s="34" t="str">
        <f t="shared" si="97"/>
        <v/>
      </c>
      <c r="M853" s="34" t="str">
        <f t="shared" si="100"/>
        <v/>
      </c>
      <c r="N853" s="34" t="str">
        <f t="shared" si="101"/>
        <v/>
      </c>
      <c r="O853" s="34" t="str">
        <f t="shared" si="98"/>
        <v/>
      </c>
      <c r="P853" s="34" t="str">
        <f>IF(A853="","",IFERROR(VLOOKUP(A853,'表3（采购界面）'!A:J,10,0),"NA"))</f>
        <v/>
      </c>
      <c r="Q853" s="34" t="str">
        <f>IF(A853="","",IFERROR(VLOOKUP(A853,'表3（采购界面）'!A:Z,11,0),"NA"))</f>
        <v/>
      </c>
      <c r="R853" s="34" t="str">
        <f t="shared" si="102"/>
        <v/>
      </c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</row>
    <row r="854" spans="10:33" x14ac:dyDescent="0.2">
      <c r="J854" s="34"/>
      <c r="K854" s="34" t="str">
        <f t="shared" si="99"/>
        <v/>
      </c>
      <c r="L854" s="34" t="str">
        <f t="shared" si="97"/>
        <v/>
      </c>
      <c r="M854" s="34" t="str">
        <f t="shared" si="100"/>
        <v/>
      </c>
      <c r="N854" s="34" t="str">
        <f t="shared" si="101"/>
        <v/>
      </c>
      <c r="O854" s="34" t="str">
        <f t="shared" si="98"/>
        <v/>
      </c>
      <c r="P854" s="34" t="str">
        <f>IF(A854="","",IFERROR(VLOOKUP(A854,'表3（采购界面）'!A:J,10,0),"NA"))</f>
        <v/>
      </c>
      <c r="Q854" s="34" t="str">
        <f>IF(A854="","",IFERROR(VLOOKUP(A854,'表3（采购界面）'!A:Z,11,0),"NA"))</f>
        <v/>
      </c>
      <c r="R854" s="34" t="str">
        <f t="shared" si="102"/>
        <v/>
      </c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</row>
    <row r="855" spans="10:33" x14ac:dyDescent="0.2">
      <c r="J855" s="34"/>
      <c r="K855" s="34" t="str">
        <f t="shared" si="99"/>
        <v/>
      </c>
      <c r="L855" s="34" t="str">
        <f t="shared" si="97"/>
        <v/>
      </c>
      <c r="M855" s="34" t="str">
        <f t="shared" si="100"/>
        <v/>
      </c>
      <c r="N855" s="34" t="str">
        <f t="shared" si="101"/>
        <v/>
      </c>
      <c r="O855" s="34" t="str">
        <f t="shared" si="98"/>
        <v/>
      </c>
      <c r="P855" s="34" t="str">
        <f>IF(A855="","",IFERROR(VLOOKUP(A855,'表3（采购界面）'!A:J,10,0),"NA"))</f>
        <v/>
      </c>
      <c r="Q855" s="34" t="str">
        <f>IF(A855="","",IFERROR(VLOOKUP(A855,'表3（采购界面）'!A:Z,11,0),"NA"))</f>
        <v/>
      </c>
      <c r="R855" s="34" t="str">
        <f t="shared" si="102"/>
        <v/>
      </c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</row>
    <row r="856" spans="10:33" x14ac:dyDescent="0.2">
      <c r="J856" s="34"/>
      <c r="K856" s="34" t="str">
        <f t="shared" si="99"/>
        <v/>
      </c>
      <c r="L856" s="34" t="str">
        <f t="shared" si="97"/>
        <v/>
      </c>
      <c r="M856" s="34" t="str">
        <f t="shared" si="100"/>
        <v/>
      </c>
      <c r="N856" s="34" t="str">
        <f t="shared" si="101"/>
        <v/>
      </c>
      <c r="O856" s="34" t="str">
        <f t="shared" si="98"/>
        <v/>
      </c>
      <c r="P856" s="34" t="str">
        <f>IF(A856="","",IFERROR(VLOOKUP(A856,'表3（采购界面）'!A:J,10,0),"NA"))</f>
        <v/>
      </c>
      <c r="Q856" s="34" t="str">
        <f>IF(A856="","",IFERROR(VLOOKUP(A856,'表3（采购界面）'!A:Z,11,0),"NA"))</f>
        <v/>
      </c>
      <c r="R856" s="34" t="str">
        <f t="shared" si="102"/>
        <v/>
      </c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</row>
    <row r="857" spans="10:33" x14ac:dyDescent="0.2">
      <c r="J857" s="34"/>
      <c r="K857" s="34" t="str">
        <f t="shared" si="99"/>
        <v/>
      </c>
      <c r="L857" s="34" t="str">
        <f t="shared" si="97"/>
        <v/>
      </c>
      <c r="M857" s="34" t="str">
        <f t="shared" si="100"/>
        <v/>
      </c>
      <c r="N857" s="34" t="str">
        <f t="shared" si="101"/>
        <v/>
      </c>
      <c r="O857" s="34" t="str">
        <f t="shared" si="98"/>
        <v/>
      </c>
      <c r="P857" s="34" t="str">
        <f>IF(A857="","",IFERROR(VLOOKUP(A857,'表3（采购界面）'!A:J,10,0),"NA"))</f>
        <v/>
      </c>
      <c r="Q857" s="34" t="str">
        <f>IF(A857="","",IFERROR(VLOOKUP(A857,'表3（采购界面）'!A:Z,11,0),"NA"))</f>
        <v/>
      </c>
      <c r="R857" s="34" t="str">
        <f t="shared" si="102"/>
        <v/>
      </c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</row>
    <row r="858" spans="10:33" x14ac:dyDescent="0.2">
      <c r="J858" s="34"/>
      <c r="K858" s="34" t="str">
        <f t="shared" si="99"/>
        <v/>
      </c>
      <c r="L858" s="34" t="str">
        <f t="shared" si="97"/>
        <v/>
      </c>
      <c r="M858" s="34" t="str">
        <f t="shared" si="100"/>
        <v/>
      </c>
      <c r="N858" s="34" t="str">
        <f t="shared" si="101"/>
        <v/>
      </c>
      <c r="O858" s="34" t="str">
        <f t="shared" si="98"/>
        <v/>
      </c>
      <c r="P858" s="34" t="str">
        <f>IF(A858="","",IFERROR(VLOOKUP(A858,'表3（采购界面）'!A:J,10,0),"NA"))</f>
        <v/>
      </c>
      <c r="Q858" s="34" t="str">
        <f>IF(A858="","",IFERROR(VLOOKUP(A858,'表3（采购界面）'!A:Z,11,0),"NA"))</f>
        <v/>
      </c>
      <c r="R858" s="34" t="str">
        <f t="shared" si="102"/>
        <v/>
      </c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</row>
    <row r="859" spans="10:33" x14ac:dyDescent="0.2">
      <c r="J859" s="34"/>
      <c r="K859" s="34" t="str">
        <f t="shared" si="99"/>
        <v/>
      </c>
      <c r="L859" s="34" t="str">
        <f t="shared" si="97"/>
        <v/>
      </c>
      <c r="M859" s="34" t="str">
        <f t="shared" si="100"/>
        <v/>
      </c>
      <c r="N859" s="34" t="str">
        <f t="shared" si="101"/>
        <v/>
      </c>
      <c r="O859" s="34" t="str">
        <f t="shared" si="98"/>
        <v/>
      </c>
      <c r="P859" s="34" t="str">
        <f>IF(A859="","",IFERROR(VLOOKUP(A859,'表3（采购界面）'!A:J,10,0),"NA"))</f>
        <v/>
      </c>
      <c r="Q859" s="34" t="str">
        <f>IF(A859="","",IFERROR(VLOOKUP(A859,'表3（采购界面）'!A:Z,11,0),"NA"))</f>
        <v/>
      </c>
      <c r="R859" s="34" t="str">
        <f t="shared" si="102"/>
        <v/>
      </c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</row>
    <row r="860" spans="10:33" x14ac:dyDescent="0.2">
      <c r="J860" s="34"/>
      <c r="K860" s="34" t="str">
        <f t="shared" si="99"/>
        <v/>
      </c>
      <c r="L860" s="34" t="str">
        <f t="shared" si="97"/>
        <v/>
      </c>
      <c r="M860" s="34" t="str">
        <f t="shared" si="100"/>
        <v/>
      </c>
      <c r="N860" s="34" t="str">
        <f t="shared" si="101"/>
        <v/>
      </c>
      <c r="O860" s="34" t="str">
        <f t="shared" si="98"/>
        <v/>
      </c>
      <c r="P860" s="34" t="str">
        <f>IF(A860="","",IFERROR(VLOOKUP(A860,'表3（采购界面）'!A:J,10,0),"NA"))</f>
        <v/>
      </c>
      <c r="Q860" s="34" t="str">
        <f>IF(A860="","",IFERROR(VLOOKUP(A860,'表3（采购界面）'!A:Z,11,0),"NA"))</f>
        <v/>
      </c>
      <c r="R860" s="34" t="str">
        <f t="shared" si="102"/>
        <v/>
      </c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</row>
    <row r="861" spans="10:33" x14ac:dyDescent="0.2">
      <c r="J861" s="34"/>
      <c r="K861" s="34" t="str">
        <f t="shared" si="99"/>
        <v/>
      </c>
      <c r="L861" s="34" t="str">
        <f t="shared" si="97"/>
        <v/>
      </c>
      <c r="M861" s="34" t="str">
        <f t="shared" si="100"/>
        <v/>
      </c>
      <c r="N861" s="34" t="str">
        <f t="shared" si="101"/>
        <v/>
      </c>
      <c r="O861" s="34" t="str">
        <f t="shared" si="98"/>
        <v/>
      </c>
      <c r="P861" s="34" t="str">
        <f>IF(A861="","",IFERROR(VLOOKUP(A861,'表3（采购界面）'!A:J,10,0),"NA"))</f>
        <v/>
      </c>
      <c r="Q861" s="34" t="str">
        <f>IF(A861="","",IFERROR(VLOOKUP(A861,'表3（采购界面）'!A:Z,11,0),"NA"))</f>
        <v/>
      </c>
      <c r="R861" s="34" t="str">
        <f t="shared" si="102"/>
        <v/>
      </c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</row>
    <row r="862" spans="10:33" x14ac:dyDescent="0.2">
      <c r="J862" s="34"/>
      <c r="K862" s="34" t="str">
        <f t="shared" si="99"/>
        <v/>
      </c>
      <c r="L862" s="34" t="str">
        <f t="shared" si="97"/>
        <v/>
      </c>
      <c r="M862" s="34" t="str">
        <f t="shared" si="100"/>
        <v/>
      </c>
      <c r="N862" s="34" t="str">
        <f t="shared" si="101"/>
        <v/>
      </c>
      <c r="O862" s="34" t="str">
        <f t="shared" si="98"/>
        <v/>
      </c>
      <c r="P862" s="34" t="str">
        <f>IF(A862="","",IFERROR(VLOOKUP(A862,'表3（采购界面）'!A:J,10,0),"NA"))</f>
        <v/>
      </c>
      <c r="Q862" s="34" t="str">
        <f>IF(A862="","",IFERROR(VLOOKUP(A862,'表3（采购界面）'!A:Z,11,0),"NA"))</f>
        <v/>
      </c>
      <c r="R862" s="34" t="str">
        <f t="shared" si="102"/>
        <v/>
      </c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</row>
    <row r="863" spans="10:33" x14ac:dyDescent="0.2">
      <c r="J863" s="34"/>
      <c r="K863" s="34" t="str">
        <f t="shared" si="99"/>
        <v/>
      </c>
      <c r="L863" s="34" t="str">
        <f t="shared" si="97"/>
        <v/>
      </c>
      <c r="M863" s="34" t="str">
        <f t="shared" si="100"/>
        <v/>
      </c>
      <c r="N863" s="34" t="str">
        <f t="shared" si="101"/>
        <v/>
      </c>
      <c r="O863" s="34" t="str">
        <f t="shared" si="98"/>
        <v/>
      </c>
      <c r="P863" s="34" t="str">
        <f>IF(A863="","",IFERROR(VLOOKUP(A863,'表3（采购界面）'!A:J,10,0),"NA"))</f>
        <v/>
      </c>
      <c r="Q863" s="34" t="str">
        <f>IF(A863="","",IFERROR(VLOOKUP(A863,'表3（采购界面）'!A:Z,11,0),"NA"))</f>
        <v/>
      </c>
      <c r="R863" s="34" t="str">
        <f t="shared" si="102"/>
        <v/>
      </c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</row>
    <row r="864" spans="10:33" x14ac:dyDescent="0.2">
      <c r="J864" s="34"/>
      <c r="K864" s="34" t="str">
        <f t="shared" si="99"/>
        <v/>
      </c>
      <c r="L864" s="34" t="str">
        <f t="shared" si="97"/>
        <v/>
      </c>
      <c r="M864" s="34" t="str">
        <f t="shared" si="100"/>
        <v/>
      </c>
      <c r="N864" s="34" t="str">
        <f t="shared" si="101"/>
        <v/>
      </c>
      <c r="O864" s="34" t="str">
        <f t="shared" si="98"/>
        <v/>
      </c>
      <c r="P864" s="34" t="str">
        <f>IF(A864="","",IFERROR(VLOOKUP(A864,'表3（采购界面）'!A:J,10,0),"NA"))</f>
        <v/>
      </c>
      <c r="Q864" s="34" t="str">
        <f>IF(A864="","",IFERROR(VLOOKUP(A864,'表3（采购界面）'!A:Z,11,0),"NA"))</f>
        <v/>
      </c>
      <c r="R864" s="34" t="str">
        <f t="shared" si="102"/>
        <v/>
      </c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</row>
    <row r="865" spans="10:33" x14ac:dyDescent="0.2">
      <c r="J865" s="34"/>
      <c r="K865" s="34" t="str">
        <f t="shared" si="99"/>
        <v/>
      </c>
      <c r="L865" s="34" t="str">
        <f t="shared" si="97"/>
        <v/>
      </c>
      <c r="M865" s="34" t="str">
        <f t="shared" si="100"/>
        <v/>
      </c>
      <c r="N865" s="34" t="str">
        <f t="shared" si="101"/>
        <v/>
      </c>
      <c r="O865" s="34" t="str">
        <f t="shared" si="98"/>
        <v/>
      </c>
      <c r="P865" s="34" t="str">
        <f>IF(A865="","",IFERROR(VLOOKUP(A865,'表3（采购界面）'!A:J,10,0),"NA"))</f>
        <v/>
      </c>
      <c r="Q865" s="34" t="str">
        <f>IF(A865="","",IFERROR(VLOOKUP(A865,'表3（采购界面）'!A:Z,11,0),"NA"))</f>
        <v/>
      </c>
      <c r="R865" s="34" t="str">
        <f t="shared" si="102"/>
        <v/>
      </c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</row>
    <row r="866" spans="10:33" x14ac:dyDescent="0.2">
      <c r="J866" s="34"/>
      <c r="K866" s="34" t="str">
        <f t="shared" si="99"/>
        <v/>
      </c>
      <c r="L866" s="34" t="str">
        <f t="shared" si="97"/>
        <v/>
      </c>
      <c r="M866" s="34" t="str">
        <f t="shared" si="100"/>
        <v/>
      </c>
      <c r="N866" s="34" t="str">
        <f t="shared" si="101"/>
        <v/>
      </c>
      <c r="O866" s="34" t="str">
        <f t="shared" si="98"/>
        <v/>
      </c>
      <c r="P866" s="34" t="str">
        <f>IF(A866="","",IFERROR(VLOOKUP(A866,'表3（采购界面）'!A:J,10,0),"NA"))</f>
        <v/>
      </c>
      <c r="Q866" s="34" t="str">
        <f>IF(A866="","",IFERROR(VLOOKUP(A866,'表3（采购界面）'!A:Z,11,0),"NA"))</f>
        <v/>
      </c>
      <c r="R866" s="34" t="str">
        <f t="shared" si="102"/>
        <v/>
      </c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</row>
    <row r="867" spans="10:33" x14ac:dyDescent="0.2">
      <c r="J867" s="34"/>
      <c r="K867" s="34" t="str">
        <f t="shared" si="99"/>
        <v/>
      </c>
      <c r="L867" s="34" t="str">
        <f t="shared" si="97"/>
        <v/>
      </c>
      <c r="M867" s="34" t="str">
        <f t="shared" si="100"/>
        <v/>
      </c>
      <c r="N867" s="34" t="str">
        <f t="shared" si="101"/>
        <v/>
      </c>
      <c r="O867" s="34" t="str">
        <f t="shared" si="98"/>
        <v/>
      </c>
      <c r="P867" s="34" t="str">
        <f>IF(A867="","",IFERROR(VLOOKUP(A867,'表3（采购界面）'!A:J,10,0),"NA"))</f>
        <v/>
      </c>
      <c r="Q867" s="34" t="str">
        <f>IF(A867="","",IFERROR(VLOOKUP(A867,'表3（采购界面）'!A:Z,11,0),"NA"))</f>
        <v/>
      </c>
      <c r="R867" s="34" t="str">
        <f t="shared" si="102"/>
        <v/>
      </c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</row>
    <row r="868" spans="10:33" x14ac:dyDescent="0.2">
      <c r="J868" s="34"/>
      <c r="K868" s="34" t="str">
        <f t="shared" si="99"/>
        <v/>
      </c>
      <c r="L868" s="34" t="str">
        <f t="shared" si="97"/>
        <v/>
      </c>
      <c r="M868" s="34" t="str">
        <f t="shared" si="100"/>
        <v/>
      </c>
      <c r="N868" s="34" t="str">
        <f t="shared" si="101"/>
        <v/>
      </c>
      <c r="O868" s="34" t="str">
        <f t="shared" si="98"/>
        <v/>
      </c>
      <c r="P868" s="34" t="str">
        <f>IF(A868="","",IFERROR(VLOOKUP(A868,'表3（采购界面）'!A:J,10,0),"NA"))</f>
        <v/>
      </c>
      <c r="Q868" s="34" t="str">
        <f>IF(A868="","",IFERROR(VLOOKUP(A868,'表3（采购界面）'!A:Z,11,0),"NA"))</f>
        <v/>
      </c>
      <c r="R868" s="34" t="str">
        <f t="shared" si="102"/>
        <v/>
      </c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</row>
    <row r="869" spans="10:33" x14ac:dyDescent="0.2">
      <c r="J869" s="34"/>
      <c r="K869" s="34" t="str">
        <f t="shared" si="99"/>
        <v/>
      </c>
      <c r="L869" s="34" t="str">
        <f t="shared" si="97"/>
        <v/>
      </c>
      <c r="M869" s="34" t="str">
        <f t="shared" si="100"/>
        <v/>
      </c>
      <c r="N869" s="34" t="str">
        <f t="shared" si="101"/>
        <v/>
      </c>
      <c r="O869" s="34" t="str">
        <f t="shared" si="98"/>
        <v/>
      </c>
      <c r="P869" s="34" t="str">
        <f>IF(A869="","",IFERROR(VLOOKUP(A869,'表3（采购界面）'!A:J,10,0),"NA"))</f>
        <v/>
      </c>
      <c r="Q869" s="34" t="str">
        <f>IF(A869="","",IFERROR(VLOOKUP(A869,'表3（采购界面）'!A:Z,11,0),"NA"))</f>
        <v/>
      </c>
      <c r="R869" s="34" t="str">
        <f t="shared" si="102"/>
        <v/>
      </c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</row>
    <row r="870" spans="10:33" x14ac:dyDescent="0.2">
      <c r="J870" s="34"/>
      <c r="K870" s="34" t="str">
        <f t="shared" si="99"/>
        <v/>
      </c>
      <c r="L870" s="34" t="str">
        <f t="shared" si="97"/>
        <v/>
      </c>
      <c r="M870" s="34" t="str">
        <f t="shared" si="100"/>
        <v/>
      </c>
      <c r="N870" s="34" t="str">
        <f t="shared" si="101"/>
        <v/>
      </c>
      <c r="O870" s="34" t="str">
        <f t="shared" si="98"/>
        <v/>
      </c>
      <c r="P870" s="34" t="str">
        <f>IF(A870="","",IFERROR(VLOOKUP(A870,'表3（采购界面）'!A:J,10,0),"NA"))</f>
        <v/>
      </c>
      <c r="Q870" s="34" t="str">
        <f>IF(A870="","",IFERROR(VLOOKUP(A870,'表3（采购界面）'!A:Z,11,0),"NA"))</f>
        <v/>
      </c>
      <c r="R870" s="34" t="str">
        <f t="shared" si="102"/>
        <v/>
      </c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</row>
    <row r="871" spans="10:33" x14ac:dyDescent="0.2">
      <c r="J871" s="34"/>
      <c r="K871" s="34" t="str">
        <f t="shared" si="99"/>
        <v/>
      </c>
      <c r="L871" s="34" t="str">
        <f t="shared" si="97"/>
        <v/>
      </c>
      <c r="M871" s="34" t="str">
        <f t="shared" si="100"/>
        <v/>
      </c>
      <c r="N871" s="34" t="str">
        <f t="shared" si="101"/>
        <v/>
      </c>
      <c r="O871" s="34" t="str">
        <f t="shared" si="98"/>
        <v/>
      </c>
      <c r="P871" s="34" t="str">
        <f>IF(A871="","",IFERROR(VLOOKUP(A871,'表3（采购界面）'!A:J,10,0),"NA"))</f>
        <v/>
      </c>
      <c r="Q871" s="34" t="str">
        <f>IF(A871="","",IFERROR(VLOOKUP(A871,'表3（采购界面）'!A:Z,11,0),"NA"))</f>
        <v/>
      </c>
      <c r="R871" s="34" t="str">
        <f t="shared" si="102"/>
        <v/>
      </c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</row>
    <row r="872" spans="10:33" x14ac:dyDescent="0.2">
      <c r="J872" s="34"/>
      <c r="K872" s="34" t="str">
        <f t="shared" si="99"/>
        <v/>
      </c>
      <c r="L872" s="34" t="str">
        <f t="shared" si="97"/>
        <v/>
      </c>
      <c r="M872" s="34" t="str">
        <f t="shared" si="100"/>
        <v/>
      </c>
      <c r="N872" s="34" t="str">
        <f t="shared" si="101"/>
        <v/>
      </c>
      <c r="O872" s="34" t="str">
        <f t="shared" si="98"/>
        <v/>
      </c>
      <c r="P872" s="34" t="str">
        <f>IF(A872="","",IFERROR(VLOOKUP(A872,'表3（采购界面）'!A:J,10,0),"NA"))</f>
        <v/>
      </c>
      <c r="Q872" s="34" t="str">
        <f>IF(A872="","",IFERROR(VLOOKUP(A872,'表3（采购界面）'!A:Z,11,0),"NA"))</f>
        <v/>
      </c>
      <c r="R872" s="34" t="str">
        <f t="shared" si="102"/>
        <v/>
      </c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</row>
    <row r="873" spans="10:33" x14ac:dyDescent="0.2">
      <c r="J873" s="34"/>
      <c r="K873" s="34" t="str">
        <f t="shared" si="99"/>
        <v/>
      </c>
      <c r="L873" s="34" t="str">
        <f t="shared" si="97"/>
        <v/>
      </c>
      <c r="M873" s="34" t="str">
        <f t="shared" si="100"/>
        <v/>
      </c>
      <c r="N873" s="34" t="str">
        <f t="shared" si="101"/>
        <v/>
      </c>
      <c r="O873" s="34" t="str">
        <f t="shared" si="98"/>
        <v/>
      </c>
      <c r="P873" s="34" t="str">
        <f>IF(A873="","",IFERROR(VLOOKUP(A873,'表3（采购界面）'!A:J,10,0),"NA"))</f>
        <v/>
      </c>
      <c r="Q873" s="34" t="str">
        <f>IF(A873="","",IFERROR(VLOOKUP(A873,'表3（采购界面）'!A:Z,11,0),"NA"))</f>
        <v/>
      </c>
      <c r="R873" s="34" t="str">
        <f t="shared" si="102"/>
        <v/>
      </c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</row>
    <row r="874" spans="10:33" x14ac:dyDescent="0.2">
      <c r="J874" s="34"/>
      <c r="K874" s="34" t="str">
        <f t="shared" si="99"/>
        <v/>
      </c>
      <c r="L874" s="34" t="str">
        <f t="shared" si="97"/>
        <v/>
      </c>
      <c r="M874" s="34" t="str">
        <f t="shared" si="100"/>
        <v/>
      </c>
      <c r="N874" s="34" t="str">
        <f t="shared" si="101"/>
        <v/>
      </c>
      <c r="O874" s="34" t="str">
        <f t="shared" si="98"/>
        <v/>
      </c>
      <c r="P874" s="34" t="str">
        <f>IF(A874="","",IFERROR(VLOOKUP(A874,'表3（采购界面）'!A:J,10,0),"NA"))</f>
        <v/>
      </c>
      <c r="Q874" s="34" t="str">
        <f>IF(A874="","",IFERROR(VLOOKUP(A874,'表3（采购界面）'!A:Z,11,0),"NA"))</f>
        <v/>
      </c>
      <c r="R874" s="34" t="str">
        <f t="shared" si="102"/>
        <v/>
      </c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</row>
    <row r="875" spans="10:33" x14ac:dyDescent="0.2">
      <c r="J875" s="34"/>
      <c r="K875" s="34" t="str">
        <f t="shared" si="99"/>
        <v/>
      </c>
      <c r="L875" s="34" t="str">
        <f t="shared" si="97"/>
        <v/>
      </c>
      <c r="M875" s="34" t="str">
        <f t="shared" si="100"/>
        <v/>
      </c>
      <c r="N875" s="34" t="str">
        <f t="shared" si="101"/>
        <v/>
      </c>
      <c r="O875" s="34" t="str">
        <f t="shared" si="98"/>
        <v/>
      </c>
      <c r="P875" s="34" t="str">
        <f>IF(A875="","",IFERROR(VLOOKUP(A875,'表3（采购界面）'!A:J,10,0),"NA"))</f>
        <v/>
      </c>
      <c r="Q875" s="34" t="str">
        <f>IF(A875="","",IFERROR(VLOOKUP(A875,'表3（采购界面）'!A:Z,11,0),"NA"))</f>
        <v/>
      </c>
      <c r="R875" s="34" t="str">
        <f t="shared" si="102"/>
        <v/>
      </c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</row>
    <row r="876" spans="10:33" x14ac:dyDescent="0.2">
      <c r="J876" s="34"/>
      <c r="K876" s="34" t="str">
        <f t="shared" si="99"/>
        <v/>
      </c>
      <c r="L876" s="34" t="str">
        <f t="shared" si="97"/>
        <v/>
      </c>
      <c r="M876" s="34" t="str">
        <f t="shared" si="100"/>
        <v/>
      </c>
      <c r="N876" s="34" t="str">
        <f t="shared" si="101"/>
        <v/>
      </c>
      <c r="O876" s="34" t="str">
        <f t="shared" si="98"/>
        <v/>
      </c>
      <c r="P876" s="34" t="str">
        <f>IF(A876="","",IFERROR(VLOOKUP(A876,'表3（采购界面）'!A:J,10,0),"NA"))</f>
        <v/>
      </c>
      <c r="Q876" s="34" t="str">
        <f>IF(A876="","",IFERROR(VLOOKUP(A876,'表3（采购界面）'!A:Z,11,0),"NA"))</f>
        <v/>
      </c>
      <c r="R876" s="34" t="str">
        <f t="shared" si="102"/>
        <v/>
      </c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</row>
    <row r="877" spans="10:33" x14ac:dyDescent="0.2">
      <c r="J877" s="34"/>
      <c r="K877" s="34" t="str">
        <f t="shared" si="99"/>
        <v/>
      </c>
      <c r="L877" s="34" t="str">
        <f t="shared" si="97"/>
        <v/>
      </c>
      <c r="M877" s="34" t="str">
        <f t="shared" si="100"/>
        <v/>
      </c>
      <c r="N877" s="34" t="str">
        <f t="shared" si="101"/>
        <v/>
      </c>
      <c r="O877" s="34" t="str">
        <f t="shared" si="98"/>
        <v/>
      </c>
      <c r="P877" s="34" t="str">
        <f>IF(A877="","",IFERROR(VLOOKUP(A877,'表3（采购界面）'!A:J,10,0),"NA"))</f>
        <v/>
      </c>
      <c r="Q877" s="34" t="str">
        <f>IF(A877="","",IFERROR(VLOOKUP(A877,'表3（采购界面）'!A:Z,11,0),"NA"))</f>
        <v/>
      </c>
      <c r="R877" s="34" t="str">
        <f t="shared" si="102"/>
        <v/>
      </c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</row>
    <row r="878" spans="10:33" x14ac:dyDescent="0.2">
      <c r="J878" s="34"/>
      <c r="K878" s="34" t="str">
        <f t="shared" si="99"/>
        <v/>
      </c>
      <c r="L878" s="34" t="str">
        <f t="shared" si="97"/>
        <v/>
      </c>
      <c r="M878" s="34" t="str">
        <f t="shared" si="100"/>
        <v/>
      </c>
      <c r="N878" s="34" t="str">
        <f t="shared" si="101"/>
        <v/>
      </c>
      <c r="O878" s="34" t="str">
        <f t="shared" si="98"/>
        <v/>
      </c>
      <c r="P878" s="34" t="str">
        <f>IF(A878="","",IFERROR(VLOOKUP(A878,'表3（采购界面）'!A:J,10,0),"NA"))</f>
        <v/>
      </c>
      <c r="Q878" s="34" t="str">
        <f>IF(A878="","",IFERROR(VLOOKUP(A878,'表3（采购界面）'!A:Z,11,0),"NA"))</f>
        <v/>
      </c>
      <c r="R878" s="34" t="str">
        <f t="shared" si="102"/>
        <v/>
      </c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</row>
    <row r="879" spans="10:33" x14ac:dyDescent="0.2">
      <c r="J879" s="34"/>
      <c r="K879" s="34" t="str">
        <f t="shared" si="99"/>
        <v/>
      </c>
      <c r="L879" s="34" t="str">
        <f t="shared" si="97"/>
        <v/>
      </c>
      <c r="M879" s="34" t="str">
        <f t="shared" si="100"/>
        <v/>
      </c>
      <c r="N879" s="34" t="str">
        <f t="shared" si="101"/>
        <v/>
      </c>
      <c r="O879" s="34" t="str">
        <f t="shared" si="98"/>
        <v/>
      </c>
      <c r="P879" s="34" t="str">
        <f>IF(A879="","",IFERROR(VLOOKUP(A879,'表3（采购界面）'!A:J,10,0),"NA"))</f>
        <v/>
      </c>
      <c r="Q879" s="34" t="str">
        <f>IF(A879="","",IFERROR(VLOOKUP(A879,'表3（采购界面）'!A:Z,11,0),"NA"))</f>
        <v/>
      </c>
      <c r="R879" s="34" t="str">
        <f t="shared" si="102"/>
        <v/>
      </c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</row>
    <row r="880" spans="10:33" x14ac:dyDescent="0.2">
      <c r="J880" s="34"/>
      <c r="K880" s="34" t="str">
        <f t="shared" si="99"/>
        <v/>
      </c>
      <c r="L880" s="34" t="str">
        <f t="shared" si="97"/>
        <v/>
      </c>
      <c r="M880" s="34" t="str">
        <f t="shared" si="100"/>
        <v/>
      </c>
      <c r="N880" s="34" t="str">
        <f t="shared" si="101"/>
        <v/>
      </c>
      <c r="O880" s="34" t="str">
        <f t="shared" si="98"/>
        <v/>
      </c>
      <c r="P880" s="34" t="str">
        <f>IF(A880="","",IFERROR(VLOOKUP(A880,'表3（采购界面）'!A:J,10,0),"NA"))</f>
        <v/>
      </c>
      <c r="Q880" s="34" t="str">
        <f>IF(A880="","",IFERROR(VLOOKUP(A880,'表3（采购界面）'!A:Z,11,0),"NA"))</f>
        <v/>
      </c>
      <c r="R880" s="34" t="str">
        <f t="shared" si="102"/>
        <v/>
      </c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</row>
    <row r="881" spans="10:33" x14ac:dyDescent="0.2">
      <c r="J881" s="34"/>
      <c r="K881" s="34" t="str">
        <f t="shared" si="99"/>
        <v/>
      </c>
      <c r="L881" s="34" t="str">
        <f t="shared" si="97"/>
        <v/>
      </c>
      <c r="M881" s="34" t="str">
        <f t="shared" si="100"/>
        <v/>
      </c>
      <c r="N881" s="34" t="str">
        <f t="shared" si="101"/>
        <v/>
      </c>
      <c r="O881" s="34" t="str">
        <f t="shared" si="98"/>
        <v/>
      </c>
      <c r="P881" s="34" t="str">
        <f>IF(A881="","",IFERROR(VLOOKUP(A881,'表3（采购界面）'!A:J,10,0),"NA"))</f>
        <v/>
      </c>
      <c r="Q881" s="34" t="str">
        <f>IF(A881="","",IFERROR(VLOOKUP(A881,'表3（采购界面）'!A:Z,11,0),"NA"))</f>
        <v/>
      </c>
      <c r="R881" s="34" t="str">
        <f t="shared" si="102"/>
        <v/>
      </c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</row>
    <row r="882" spans="10:33" x14ac:dyDescent="0.2">
      <c r="J882" s="34"/>
      <c r="K882" s="34" t="str">
        <f t="shared" si="99"/>
        <v/>
      </c>
      <c r="L882" s="34" t="str">
        <f t="shared" si="97"/>
        <v/>
      </c>
      <c r="M882" s="34" t="str">
        <f t="shared" si="100"/>
        <v/>
      </c>
      <c r="N882" s="34" t="str">
        <f t="shared" si="101"/>
        <v/>
      </c>
      <c r="O882" s="34" t="str">
        <f t="shared" si="98"/>
        <v/>
      </c>
      <c r="P882" s="34" t="str">
        <f>IF(A882="","",IFERROR(VLOOKUP(A882,'表3（采购界面）'!A:J,10,0),"NA"))</f>
        <v/>
      </c>
      <c r="Q882" s="34" t="str">
        <f>IF(A882="","",IFERROR(VLOOKUP(A882,'表3（采购界面）'!A:Z,11,0),"NA"))</f>
        <v/>
      </c>
      <c r="R882" s="34" t="str">
        <f t="shared" si="102"/>
        <v/>
      </c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</row>
    <row r="883" spans="10:33" x14ac:dyDescent="0.2">
      <c r="J883" s="34"/>
      <c r="K883" s="34" t="str">
        <f t="shared" si="99"/>
        <v/>
      </c>
      <c r="L883" s="34" t="str">
        <f t="shared" si="97"/>
        <v/>
      </c>
      <c r="M883" s="34" t="str">
        <f t="shared" si="100"/>
        <v/>
      </c>
      <c r="N883" s="34" t="str">
        <f t="shared" si="101"/>
        <v/>
      </c>
      <c r="O883" s="34" t="str">
        <f t="shared" si="98"/>
        <v/>
      </c>
      <c r="P883" s="34" t="str">
        <f>IF(A883="","",IFERROR(VLOOKUP(A883,'表3（采购界面）'!A:J,10,0),"NA"))</f>
        <v/>
      </c>
      <c r="Q883" s="34" t="str">
        <f>IF(A883="","",IFERROR(VLOOKUP(A883,'表3（采购界面）'!A:Z,11,0),"NA"))</f>
        <v/>
      </c>
      <c r="R883" s="34" t="str">
        <f t="shared" si="102"/>
        <v/>
      </c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</row>
    <row r="884" spans="10:33" x14ac:dyDescent="0.2">
      <c r="J884" s="34"/>
      <c r="K884" s="34" t="str">
        <f t="shared" si="99"/>
        <v/>
      </c>
      <c r="L884" s="34" t="str">
        <f t="shared" si="97"/>
        <v/>
      </c>
      <c r="M884" s="34" t="str">
        <f t="shared" si="100"/>
        <v/>
      </c>
      <c r="N884" s="34" t="str">
        <f t="shared" si="101"/>
        <v/>
      </c>
      <c r="O884" s="34" t="str">
        <f t="shared" si="98"/>
        <v/>
      </c>
      <c r="P884" s="34" t="str">
        <f>IF(A884="","",IFERROR(VLOOKUP(A884,'表3（采购界面）'!A:J,10,0),"NA"))</f>
        <v/>
      </c>
      <c r="Q884" s="34" t="str">
        <f>IF(A884="","",IFERROR(VLOOKUP(A884,'表3（采购界面）'!A:Z,11,0),"NA"))</f>
        <v/>
      </c>
      <c r="R884" s="34" t="str">
        <f t="shared" si="102"/>
        <v/>
      </c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</row>
    <row r="885" spans="10:33" x14ac:dyDescent="0.2">
      <c r="J885" s="34"/>
      <c r="K885" s="34" t="str">
        <f t="shared" si="99"/>
        <v/>
      </c>
      <c r="L885" s="34" t="str">
        <f t="shared" si="97"/>
        <v/>
      </c>
      <c r="M885" s="34" t="str">
        <f t="shared" si="100"/>
        <v/>
      </c>
      <c r="N885" s="34" t="str">
        <f t="shared" si="101"/>
        <v/>
      </c>
      <c r="O885" s="34" t="str">
        <f t="shared" si="98"/>
        <v/>
      </c>
      <c r="P885" s="34" t="str">
        <f>IF(A885="","",IFERROR(VLOOKUP(A885,'表3（采购界面）'!A:J,10,0),"NA"))</f>
        <v/>
      </c>
      <c r="Q885" s="34" t="str">
        <f>IF(A885="","",IFERROR(VLOOKUP(A885,'表3（采购界面）'!A:Z,11,0),"NA"))</f>
        <v/>
      </c>
      <c r="R885" s="34" t="str">
        <f t="shared" si="102"/>
        <v/>
      </c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</row>
    <row r="886" spans="10:33" x14ac:dyDescent="0.2">
      <c r="J886" s="34"/>
      <c r="K886" s="34" t="str">
        <f t="shared" si="99"/>
        <v/>
      </c>
      <c r="L886" s="34" t="str">
        <f t="shared" si="97"/>
        <v/>
      </c>
      <c r="M886" s="34" t="str">
        <f t="shared" si="100"/>
        <v/>
      </c>
      <c r="N886" s="34" t="str">
        <f t="shared" si="101"/>
        <v/>
      </c>
      <c r="O886" s="34" t="str">
        <f t="shared" si="98"/>
        <v/>
      </c>
      <c r="P886" s="34" t="str">
        <f>IF(A886="","",IFERROR(VLOOKUP(A886,'表3（采购界面）'!A:J,10,0),"NA"))</f>
        <v/>
      </c>
      <c r="Q886" s="34" t="str">
        <f>IF(A886="","",IFERROR(VLOOKUP(A886,'表3（采购界面）'!A:Z,11,0),"NA"))</f>
        <v/>
      </c>
      <c r="R886" s="34" t="str">
        <f t="shared" si="102"/>
        <v/>
      </c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</row>
    <row r="887" spans="10:33" x14ac:dyDescent="0.2">
      <c r="J887" s="34"/>
      <c r="K887" s="34" t="str">
        <f t="shared" si="99"/>
        <v/>
      </c>
      <c r="L887" s="34" t="str">
        <f t="shared" si="97"/>
        <v/>
      </c>
      <c r="M887" s="34" t="str">
        <f t="shared" si="100"/>
        <v/>
      </c>
      <c r="N887" s="34" t="str">
        <f t="shared" si="101"/>
        <v/>
      </c>
      <c r="O887" s="34" t="str">
        <f t="shared" si="98"/>
        <v/>
      </c>
      <c r="P887" s="34" t="str">
        <f>IF(A887="","",IFERROR(VLOOKUP(A887,'表3（采购界面）'!A:J,10,0),"NA"))</f>
        <v/>
      </c>
      <c r="Q887" s="34" t="str">
        <f>IF(A887="","",IFERROR(VLOOKUP(A887,'表3（采购界面）'!A:Z,11,0),"NA"))</f>
        <v/>
      </c>
      <c r="R887" s="34" t="str">
        <f t="shared" si="102"/>
        <v/>
      </c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</row>
    <row r="888" spans="10:33" x14ac:dyDescent="0.2">
      <c r="J888" s="34"/>
      <c r="K888" s="34" t="str">
        <f t="shared" si="99"/>
        <v/>
      </c>
      <c r="L888" s="34" t="str">
        <f t="shared" si="97"/>
        <v/>
      </c>
      <c r="M888" s="34" t="str">
        <f t="shared" si="100"/>
        <v/>
      </c>
      <c r="N888" s="34" t="str">
        <f t="shared" si="101"/>
        <v/>
      </c>
      <c r="O888" s="34" t="str">
        <f t="shared" si="98"/>
        <v/>
      </c>
      <c r="P888" s="34" t="str">
        <f>IF(A888="","",IFERROR(VLOOKUP(A888,'表3（采购界面）'!A:J,10,0),"NA"))</f>
        <v/>
      </c>
      <c r="Q888" s="34" t="str">
        <f>IF(A888="","",IFERROR(VLOOKUP(A888,'表3（采购界面）'!A:Z,11,0),"NA"))</f>
        <v/>
      </c>
      <c r="R888" s="34" t="str">
        <f t="shared" si="102"/>
        <v/>
      </c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</row>
    <row r="889" spans="10:33" x14ac:dyDescent="0.2">
      <c r="J889" s="34"/>
      <c r="K889" s="34" t="str">
        <f t="shared" si="99"/>
        <v/>
      </c>
      <c r="L889" s="34" t="str">
        <f t="shared" si="97"/>
        <v/>
      </c>
      <c r="M889" s="34" t="str">
        <f t="shared" si="100"/>
        <v/>
      </c>
      <c r="N889" s="34" t="str">
        <f t="shared" si="101"/>
        <v/>
      </c>
      <c r="O889" s="34" t="str">
        <f t="shared" si="98"/>
        <v/>
      </c>
      <c r="P889" s="34" t="str">
        <f>IF(A889="","",IFERROR(VLOOKUP(A889,'表3（采购界面）'!A:J,10,0),"NA"))</f>
        <v/>
      </c>
      <c r="Q889" s="34" t="str">
        <f>IF(A889="","",IFERROR(VLOOKUP(A889,'表3（采购界面）'!A:Z,11,0),"NA"))</f>
        <v/>
      </c>
      <c r="R889" s="34" t="str">
        <f t="shared" si="102"/>
        <v/>
      </c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</row>
    <row r="890" spans="10:33" x14ac:dyDescent="0.2">
      <c r="J890" s="34"/>
      <c r="K890" s="34" t="str">
        <f t="shared" si="99"/>
        <v/>
      </c>
      <c r="L890" s="34" t="str">
        <f t="shared" si="97"/>
        <v/>
      </c>
      <c r="M890" s="34" t="str">
        <f t="shared" si="100"/>
        <v/>
      </c>
      <c r="N890" s="34" t="str">
        <f t="shared" si="101"/>
        <v/>
      </c>
      <c r="O890" s="34" t="str">
        <f t="shared" si="98"/>
        <v/>
      </c>
      <c r="P890" s="34" t="str">
        <f>IF(A890="","",IFERROR(VLOOKUP(A890,'表3（采购界面）'!A:J,10,0),"NA"))</f>
        <v/>
      </c>
      <c r="Q890" s="34" t="str">
        <f>IF(A890="","",IFERROR(VLOOKUP(A890,'表3（采购界面）'!A:Z,11,0),"NA"))</f>
        <v/>
      </c>
      <c r="R890" s="34" t="str">
        <f t="shared" si="102"/>
        <v/>
      </c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</row>
    <row r="891" spans="10:33" x14ac:dyDescent="0.2">
      <c r="J891" s="34"/>
      <c r="K891" s="34" t="str">
        <f t="shared" si="99"/>
        <v/>
      </c>
      <c r="L891" s="34" t="str">
        <f t="shared" si="97"/>
        <v/>
      </c>
      <c r="M891" s="34" t="str">
        <f t="shared" si="100"/>
        <v/>
      </c>
      <c r="N891" s="34" t="str">
        <f t="shared" si="101"/>
        <v/>
      </c>
      <c r="O891" s="34" t="str">
        <f t="shared" si="98"/>
        <v/>
      </c>
      <c r="P891" s="34" t="str">
        <f>IF(A891="","",IFERROR(VLOOKUP(A891,'表3（采购界面）'!A:J,10,0),"NA"))</f>
        <v/>
      </c>
      <c r="Q891" s="34" t="str">
        <f>IF(A891="","",IFERROR(VLOOKUP(A891,'表3（采购界面）'!A:Z,11,0),"NA"))</f>
        <v/>
      </c>
      <c r="R891" s="34" t="str">
        <f t="shared" si="102"/>
        <v/>
      </c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</row>
    <row r="892" spans="10:33" x14ac:dyDescent="0.2">
      <c r="J892" s="34"/>
      <c r="K892" s="34" t="str">
        <f t="shared" si="99"/>
        <v/>
      </c>
      <c r="L892" s="34" t="str">
        <f t="shared" si="97"/>
        <v/>
      </c>
      <c r="M892" s="34" t="str">
        <f t="shared" si="100"/>
        <v/>
      </c>
      <c r="N892" s="34" t="str">
        <f t="shared" si="101"/>
        <v/>
      </c>
      <c r="O892" s="34" t="str">
        <f t="shared" si="98"/>
        <v/>
      </c>
      <c r="P892" s="34" t="str">
        <f>IF(A892="","",IFERROR(VLOOKUP(A892,'表3（采购界面）'!A:J,10,0),"NA"))</f>
        <v/>
      </c>
      <c r="Q892" s="34" t="str">
        <f>IF(A892="","",IFERROR(VLOOKUP(A892,'表3（采购界面）'!A:Z,11,0),"NA"))</f>
        <v/>
      </c>
      <c r="R892" s="34" t="str">
        <f t="shared" si="102"/>
        <v/>
      </c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</row>
    <row r="893" spans="10:33" x14ac:dyDescent="0.2">
      <c r="J893" s="34"/>
      <c r="K893" s="34" t="str">
        <f t="shared" si="99"/>
        <v/>
      </c>
      <c r="L893" s="34" t="str">
        <f t="shared" si="97"/>
        <v/>
      </c>
      <c r="M893" s="34" t="str">
        <f t="shared" si="100"/>
        <v/>
      </c>
      <c r="N893" s="34" t="str">
        <f t="shared" si="101"/>
        <v/>
      </c>
      <c r="O893" s="34" t="str">
        <f t="shared" si="98"/>
        <v/>
      </c>
      <c r="P893" s="34" t="str">
        <f>IF(A893="","",IFERROR(VLOOKUP(A893,'表3（采购界面）'!A:J,10,0),"NA"))</f>
        <v/>
      </c>
      <c r="Q893" s="34" t="str">
        <f>IF(A893="","",IFERROR(VLOOKUP(A893,'表3（采购界面）'!A:Z,11,0),"NA"))</f>
        <v/>
      </c>
      <c r="R893" s="34" t="str">
        <f t="shared" si="102"/>
        <v/>
      </c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</row>
    <row r="894" spans="10:33" x14ac:dyDescent="0.2">
      <c r="J894" s="34"/>
      <c r="K894" s="34" t="str">
        <f t="shared" si="99"/>
        <v/>
      </c>
      <c r="L894" s="34" t="str">
        <f t="shared" si="97"/>
        <v/>
      </c>
      <c r="M894" s="34" t="str">
        <f t="shared" si="100"/>
        <v/>
      </c>
      <c r="N894" s="34" t="str">
        <f t="shared" si="101"/>
        <v/>
      </c>
      <c r="O894" s="34" t="str">
        <f t="shared" si="98"/>
        <v/>
      </c>
      <c r="P894" s="34" t="str">
        <f>IF(A894="","",IFERROR(VLOOKUP(A894,'表3（采购界面）'!A:J,10,0),"NA"))</f>
        <v/>
      </c>
      <c r="Q894" s="34" t="str">
        <f>IF(A894="","",IFERROR(VLOOKUP(A894,'表3（采购界面）'!A:Z,11,0),"NA"))</f>
        <v/>
      </c>
      <c r="R894" s="34" t="str">
        <f t="shared" si="102"/>
        <v/>
      </c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</row>
    <row r="895" spans="10:33" x14ac:dyDescent="0.2">
      <c r="J895" s="34"/>
      <c r="K895" s="34" t="str">
        <f t="shared" si="99"/>
        <v/>
      </c>
      <c r="L895" s="34" t="str">
        <f t="shared" si="97"/>
        <v/>
      </c>
      <c r="M895" s="34" t="str">
        <f t="shared" si="100"/>
        <v/>
      </c>
      <c r="N895" s="34" t="str">
        <f t="shared" si="101"/>
        <v/>
      </c>
      <c r="O895" s="34" t="str">
        <f t="shared" si="98"/>
        <v/>
      </c>
      <c r="P895" s="34" t="str">
        <f>IF(A895="","",IFERROR(VLOOKUP(A895,'表3（采购界面）'!A:J,10,0),"NA"))</f>
        <v/>
      </c>
      <c r="Q895" s="34" t="str">
        <f>IF(A895="","",IFERROR(VLOOKUP(A895,'表3（采购界面）'!A:Z,11,0),"NA"))</f>
        <v/>
      </c>
      <c r="R895" s="34" t="str">
        <f t="shared" si="102"/>
        <v/>
      </c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</row>
    <row r="896" spans="10:33" x14ac:dyDescent="0.2">
      <c r="J896" s="34"/>
      <c r="K896" s="34" t="str">
        <f t="shared" si="99"/>
        <v/>
      </c>
      <c r="L896" s="34" t="str">
        <f t="shared" si="97"/>
        <v/>
      </c>
      <c r="M896" s="34" t="str">
        <f t="shared" si="100"/>
        <v/>
      </c>
      <c r="N896" s="34" t="str">
        <f t="shared" si="101"/>
        <v/>
      </c>
      <c r="O896" s="34" t="str">
        <f t="shared" si="98"/>
        <v/>
      </c>
      <c r="P896" s="34" t="str">
        <f>IF(A896="","",IFERROR(VLOOKUP(A896,'表3（采购界面）'!A:J,10,0),"NA"))</f>
        <v/>
      </c>
      <c r="Q896" s="34" t="str">
        <f>IF(A896="","",IFERROR(VLOOKUP(A896,'表3（采购界面）'!A:Z,11,0),"NA"))</f>
        <v/>
      </c>
      <c r="R896" s="34" t="str">
        <f t="shared" si="102"/>
        <v/>
      </c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</row>
    <row r="897" spans="10:33" x14ac:dyDescent="0.2">
      <c r="J897" s="34"/>
      <c r="K897" s="34" t="str">
        <f t="shared" si="99"/>
        <v/>
      </c>
      <c r="L897" s="34" t="str">
        <f t="shared" si="97"/>
        <v/>
      </c>
      <c r="M897" s="34" t="str">
        <f t="shared" si="100"/>
        <v/>
      </c>
      <c r="N897" s="34" t="str">
        <f t="shared" si="101"/>
        <v/>
      </c>
      <c r="O897" s="34" t="str">
        <f t="shared" si="98"/>
        <v/>
      </c>
      <c r="P897" s="34" t="str">
        <f>IF(A897="","",IFERROR(VLOOKUP(A897,'表3（采购界面）'!A:J,10,0),"NA"))</f>
        <v/>
      </c>
      <c r="Q897" s="34" t="str">
        <f>IF(A897="","",IFERROR(VLOOKUP(A897,'表3（采购界面）'!A:Z,11,0),"NA"))</f>
        <v/>
      </c>
      <c r="R897" s="34" t="str">
        <f t="shared" si="102"/>
        <v/>
      </c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</row>
    <row r="898" spans="10:33" x14ac:dyDescent="0.2">
      <c r="J898" s="34"/>
      <c r="K898" s="34" t="str">
        <f t="shared" si="99"/>
        <v/>
      </c>
      <c r="L898" s="34" t="str">
        <f t="shared" si="97"/>
        <v/>
      </c>
      <c r="M898" s="34" t="str">
        <f t="shared" si="100"/>
        <v/>
      </c>
      <c r="N898" s="34" t="str">
        <f t="shared" si="101"/>
        <v/>
      </c>
      <c r="O898" s="34" t="str">
        <f t="shared" si="98"/>
        <v/>
      </c>
      <c r="P898" s="34" t="str">
        <f>IF(A898="","",IFERROR(VLOOKUP(A898,'表3（采购界面）'!A:J,10,0),"NA"))</f>
        <v/>
      </c>
      <c r="Q898" s="34" t="str">
        <f>IF(A898="","",IFERROR(VLOOKUP(A898,'表3（采购界面）'!A:Z,11,0),"NA"))</f>
        <v/>
      </c>
      <c r="R898" s="34" t="str">
        <f t="shared" si="102"/>
        <v/>
      </c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</row>
    <row r="899" spans="10:33" x14ac:dyDescent="0.2">
      <c r="J899" s="34"/>
      <c r="K899" s="34" t="str">
        <f t="shared" si="99"/>
        <v/>
      </c>
      <c r="L899" s="34" t="str">
        <f t="shared" si="97"/>
        <v/>
      </c>
      <c r="M899" s="34" t="str">
        <f t="shared" si="100"/>
        <v/>
      </c>
      <c r="N899" s="34" t="str">
        <f t="shared" si="101"/>
        <v/>
      </c>
      <c r="O899" s="34" t="str">
        <f t="shared" si="98"/>
        <v/>
      </c>
      <c r="P899" s="34" t="str">
        <f>IF(A899="","",IFERROR(VLOOKUP(A899,'表3（采购界面）'!A:J,10,0),"NA"))</f>
        <v/>
      </c>
      <c r="Q899" s="34" t="str">
        <f>IF(A899="","",IFERROR(VLOOKUP(A899,'表3（采购界面）'!A:Z,11,0),"NA"))</f>
        <v/>
      </c>
      <c r="R899" s="34" t="str">
        <f t="shared" si="102"/>
        <v/>
      </c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</row>
    <row r="900" spans="10:33" x14ac:dyDescent="0.2">
      <c r="J900" s="34"/>
      <c r="K900" s="34" t="str">
        <f t="shared" si="99"/>
        <v/>
      </c>
      <c r="L900" s="34" t="str">
        <f t="shared" si="97"/>
        <v/>
      </c>
      <c r="M900" s="34" t="str">
        <f t="shared" si="100"/>
        <v/>
      </c>
      <c r="N900" s="34" t="str">
        <f t="shared" si="101"/>
        <v/>
      </c>
      <c r="O900" s="34" t="str">
        <f t="shared" si="98"/>
        <v/>
      </c>
      <c r="P900" s="34" t="str">
        <f>IF(A900="","",IFERROR(VLOOKUP(A900,'表3（采购界面）'!A:J,10,0),"NA"))</f>
        <v/>
      </c>
      <c r="Q900" s="34" t="str">
        <f>IF(A900="","",IFERROR(VLOOKUP(A900,'表3（采购界面）'!A:Z,11,0),"NA"))</f>
        <v/>
      </c>
      <c r="R900" s="34" t="str">
        <f t="shared" si="102"/>
        <v/>
      </c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</row>
    <row r="901" spans="10:33" x14ac:dyDescent="0.2">
      <c r="J901" s="34"/>
      <c r="K901" s="34" t="str">
        <f t="shared" si="99"/>
        <v/>
      </c>
      <c r="L901" s="34" t="str">
        <f t="shared" ref="L901:L964" si="103">_xlfn.IFS(LEFT(A901)="1","MB",LEFT(A901)="2","WB",LEFT(A901)="3","WB",AND(LEFT(A901)="4",D901&lt;&gt;"中国",J901&lt;&gt;"Y01"),"FX",A901&lt;&gt;"","EX",A901="","")</f>
        <v/>
      </c>
      <c r="M901" s="34" t="str">
        <f t="shared" si="100"/>
        <v/>
      </c>
      <c r="N901" s="34" t="str">
        <f t="shared" si="101"/>
        <v/>
      </c>
      <c r="O901" s="34" t="str">
        <f t="shared" ref="O901:O964" si="104">IF(OR(LEFT(A901,1)="4",LEFT(A901,1)="5"),"NA","")</f>
        <v/>
      </c>
      <c r="P901" s="34" t="str">
        <f>IF(A901="","",IFERROR(VLOOKUP(A901,'表3（采购界面）'!A:J,10,0),"NA"))</f>
        <v/>
      </c>
      <c r="Q901" s="34" t="str">
        <f>IF(A901="","",IFERROR(VLOOKUP(A901,'表3（采购界面）'!A:Z,11,0),"NA"))</f>
        <v/>
      </c>
      <c r="R901" s="34" t="str">
        <f t="shared" si="102"/>
        <v/>
      </c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</row>
    <row r="902" spans="10:33" x14ac:dyDescent="0.2">
      <c r="J902" s="34"/>
      <c r="K902" s="34" t="str">
        <f t="shared" ref="K902:K965" si="105">_xlfn.IFS(AND(LEFT(A902,1)="4",D902="中国"),"ND",AND(LEFT(A902,1)="5",D902="中国"),"ND",AND(LEFT(A902,1)="5",D902&lt;&gt;"中国"),"M2",A902="","",A902&lt;&gt;"","PD")</f>
        <v/>
      </c>
      <c r="L902" s="34" t="str">
        <f t="shared" si="103"/>
        <v/>
      </c>
      <c r="M902" s="34" t="str">
        <f t="shared" ref="M902:M965" si="106">IF(OR(L902="FX",L902=""),"","NA")</f>
        <v/>
      </c>
      <c r="N902" s="34" t="str">
        <f t="shared" ref="N902:N965" si="107">IF(A902="","","NA")</f>
        <v/>
      </c>
      <c r="O902" s="34" t="str">
        <f t="shared" si="104"/>
        <v/>
      </c>
      <c r="P902" s="34" t="str">
        <f>IF(A902="","",IFERROR(VLOOKUP(A902,'表3（采购界面）'!A:J,10,0),"NA"))</f>
        <v/>
      </c>
      <c r="Q902" s="34" t="str">
        <f>IF(A902="","",IFERROR(VLOOKUP(A902,'表3（采购界面）'!A:Z,11,0),"NA"))</f>
        <v/>
      </c>
      <c r="R902" s="34" t="str">
        <f t="shared" ref="R902:R965" si="108">IF(A902="","",IF(OR(LEFT(A902,1)="1",LEFT(A902,1)="2",LEFT(A902,1)="3"),"F","E"))</f>
        <v/>
      </c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</row>
    <row r="903" spans="10:33" x14ac:dyDescent="0.2">
      <c r="J903" s="34"/>
      <c r="K903" s="34" t="str">
        <f t="shared" si="105"/>
        <v/>
      </c>
      <c r="L903" s="34" t="str">
        <f t="shared" si="103"/>
        <v/>
      </c>
      <c r="M903" s="34" t="str">
        <f t="shared" si="106"/>
        <v/>
      </c>
      <c r="N903" s="34" t="str">
        <f t="shared" si="107"/>
        <v/>
      </c>
      <c r="O903" s="34" t="str">
        <f t="shared" si="104"/>
        <v/>
      </c>
      <c r="P903" s="34" t="str">
        <f>IF(A903="","",IFERROR(VLOOKUP(A903,'表3（采购界面）'!A:J,10,0),"NA"))</f>
        <v/>
      </c>
      <c r="Q903" s="34" t="str">
        <f>IF(A903="","",IFERROR(VLOOKUP(A903,'表3（采购界面）'!A:Z,11,0),"NA"))</f>
        <v/>
      </c>
      <c r="R903" s="34" t="str">
        <f t="shared" si="108"/>
        <v/>
      </c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</row>
    <row r="904" spans="10:33" x14ac:dyDescent="0.2">
      <c r="J904" s="34"/>
      <c r="K904" s="34" t="str">
        <f t="shared" si="105"/>
        <v/>
      </c>
      <c r="L904" s="34" t="str">
        <f t="shared" si="103"/>
        <v/>
      </c>
      <c r="M904" s="34" t="str">
        <f t="shared" si="106"/>
        <v/>
      </c>
      <c r="N904" s="34" t="str">
        <f t="shared" si="107"/>
        <v/>
      </c>
      <c r="O904" s="34" t="str">
        <f t="shared" si="104"/>
        <v/>
      </c>
      <c r="P904" s="34" t="str">
        <f>IF(A904="","",IFERROR(VLOOKUP(A904,'表3（采购界面）'!A:J,10,0),"NA"))</f>
        <v/>
      </c>
      <c r="Q904" s="34" t="str">
        <f>IF(A904="","",IFERROR(VLOOKUP(A904,'表3（采购界面）'!A:Z,11,0),"NA"))</f>
        <v/>
      </c>
      <c r="R904" s="34" t="str">
        <f t="shared" si="108"/>
        <v/>
      </c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</row>
    <row r="905" spans="10:33" x14ac:dyDescent="0.2">
      <c r="J905" s="34"/>
      <c r="K905" s="34" t="str">
        <f t="shared" si="105"/>
        <v/>
      </c>
      <c r="L905" s="34" t="str">
        <f t="shared" si="103"/>
        <v/>
      </c>
      <c r="M905" s="34" t="str">
        <f t="shared" si="106"/>
        <v/>
      </c>
      <c r="N905" s="34" t="str">
        <f t="shared" si="107"/>
        <v/>
      </c>
      <c r="O905" s="34" t="str">
        <f t="shared" si="104"/>
        <v/>
      </c>
      <c r="P905" s="34" t="str">
        <f>IF(A905="","",IFERROR(VLOOKUP(A905,'表3（采购界面）'!A:J,10,0),"NA"))</f>
        <v/>
      </c>
      <c r="Q905" s="34" t="str">
        <f>IF(A905="","",IFERROR(VLOOKUP(A905,'表3（采购界面）'!A:Z,11,0),"NA"))</f>
        <v/>
      </c>
      <c r="R905" s="34" t="str">
        <f t="shared" si="108"/>
        <v/>
      </c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</row>
    <row r="906" spans="10:33" x14ac:dyDescent="0.2">
      <c r="J906" s="34"/>
      <c r="K906" s="34" t="str">
        <f t="shared" si="105"/>
        <v/>
      </c>
      <c r="L906" s="34" t="str">
        <f t="shared" si="103"/>
        <v/>
      </c>
      <c r="M906" s="34" t="str">
        <f t="shared" si="106"/>
        <v/>
      </c>
      <c r="N906" s="34" t="str">
        <f t="shared" si="107"/>
        <v/>
      </c>
      <c r="O906" s="34" t="str">
        <f t="shared" si="104"/>
        <v/>
      </c>
      <c r="P906" s="34" t="str">
        <f>IF(A906="","",IFERROR(VLOOKUP(A906,'表3（采购界面）'!A:J,10,0),"NA"))</f>
        <v/>
      </c>
      <c r="Q906" s="34" t="str">
        <f>IF(A906="","",IFERROR(VLOOKUP(A906,'表3（采购界面）'!A:Z,11,0),"NA"))</f>
        <v/>
      </c>
      <c r="R906" s="34" t="str">
        <f t="shared" si="108"/>
        <v/>
      </c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</row>
    <row r="907" spans="10:33" x14ac:dyDescent="0.2">
      <c r="J907" s="34"/>
      <c r="K907" s="34" t="str">
        <f t="shared" si="105"/>
        <v/>
      </c>
      <c r="L907" s="34" t="str">
        <f t="shared" si="103"/>
        <v/>
      </c>
      <c r="M907" s="34" t="str">
        <f t="shared" si="106"/>
        <v/>
      </c>
      <c r="N907" s="34" t="str">
        <f t="shared" si="107"/>
        <v/>
      </c>
      <c r="O907" s="34" t="str">
        <f t="shared" si="104"/>
        <v/>
      </c>
      <c r="P907" s="34" t="str">
        <f>IF(A907="","",IFERROR(VLOOKUP(A907,'表3（采购界面）'!A:J,10,0),"NA"))</f>
        <v/>
      </c>
      <c r="Q907" s="34" t="str">
        <f>IF(A907="","",IFERROR(VLOOKUP(A907,'表3（采购界面）'!A:Z,11,0),"NA"))</f>
        <v/>
      </c>
      <c r="R907" s="34" t="str">
        <f t="shared" si="108"/>
        <v/>
      </c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</row>
    <row r="908" spans="10:33" x14ac:dyDescent="0.2">
      <c r="J908" s="34"/>
      <c r="K908" s="34" t="str">
        <f t="shared" si="105"/>
        <v/>
      </c>
      <c r="L908" s="34" t="str">
        <f t="shared" si="103"/>
        <v/>
      </c>
      <c r="M908" s="34" t="str">
        <f t="shared" si="106"/>
        <v/>
      </c>
      <c r="N908" s="34" t="str">
        <f t="shared" si="107"/>
        <v/>
      </c>
      <c r="O908" s="34" t="str">
        <f t="shared" si="104"/>
        <v/>
      </c>
      <c r="P908" s="34" t="str">
        <f>IF(A908="","",IFERROR(VLOOKUP(A908,'表3（采购界面）'!A:J,10,0),"NA"))</f>
        <v/>
      </c>
      <c r="Q908" s="34" t="str">
        <f>IF(A908="","",IFERROR(VLOOKUP(A908,'表3（采购界面）'!A:Z,11,0),"NA"))</f>
        <v/>
      </c>
      <c r="R908" s="34" t="str">
        <f t="shared" si="108"/>
        <v/>
      </c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</row>
    <row r="909" spans="10:33" x14ac:dyDescent="0.2">
      <c r="J909" s="34"/>
      <c r="K909" s="34" t="str">
        <f t="shared" si="105"/>
        <v/>
      </c>
      <c r="L909" s="34" t="str">
        <f t="shared" si="103"/>
        <v/>
      </c>
      <c r="M909" s="34" t="str">
        <f t="shared" si="106"/>
        <v/>
      </c>
      <c r="N909" s="34" t="str">
        <f t="shared" si="107"/>
        <v/>
      </c>
      <c r="O909" s="34" t="str">
        <f t="shared" si="104"/>
        <v/>
      </c>
      <c r="P909" s="34" t="str">
        <f>IF(A909="","",IFERROR(VLOOKUP(A909,'表3（采购界面）'!A:J,10,0),"NA"))</f>
        <v/>
      </c>
      <c r="Q909" s="34" t="str">
        <f>IF(A909="","",IFERROR(VLOOKUP(A909,'表3（采购界面）'!A:Z,11,0),"NA"))</f>
        <v/>
      </c>
      <c r="R909" s="34" t="str">
        <f t="shared" si="108"/>
        <v/>
      </c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</row>
    <row r="910" spans="10:33" x14ac:dyDescent="0.2">
      <c r="J910" s="34"/>
      <c r="K910" s="34" t="str">
        <f t="shared" si="105"/>
        <v/>
      </c>
      <c r="L910" s="34" t="str">
        <f t="shared" si="103"/>
        <v/>
      </c>
      <c r="M910" s="34" t="str">
        <f t="shared" si="106"/>
        <v/>
      </c>
      <c r="N910" s="34" t="str">
        <f t="shared" si="107"/>
        <v/>
      </c>
      <c r="O910" s="34" t="str">
        <f t="shared" si="104"/>
        <v/>
      </c>
      <c r="P910" s="34" t="str">
        <f>IF(A910="","",IFERROR(VLOOKUP(A910,'表3（采购界面）'!A:J,10,0),"NA"))</f>
        <v/>
      </c>
      <c r="Q910" s="34" t="str">
        <f>IF(A910="","",IFERROR(VLOOKUP(A910,'表3（采购界面）'!A:Z,11,0),"NA"))</f>
        <v/>
      </c>
      <c r="R910" s="34" t="str">
        <f t="shared" si="108"/>
        <v/>
      </c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</row>
    <row r="911" spans="10:33" x14ac:dyDescent="0.2">
      <c r="J911" s="34"/>
      <c r="K911" s="34" t="str">
        <f t="shared" si="105"/>
        <v/>
      </c>
      <c r="L911" s="34" t="str">
        <f t="shared" si="103"/>
        <v/>
      </c>
      <c r="M911" s="34" t="str">
        <f t="shared" si="106"/>
        <v/>
      </c>
      <c r="N911" s="34" t="str">
        <f t="shared" si="107"/>
        <v/>
      </c>
      <c r="O911" s="34" t="str">
        <f t="shared" si="104"/>
        <v/>
      </c>
      <c r="P911" s="34" t="str">
        <f>IF(A911="","",IFERROR(VLOOKUP(A911,'表3（采购界面）'!A:J,10,0),"NA"))</f>
        <v/>
      </c>
      <c r="Q911" s="34" t="str">
        <f>IF(A911="","",IFERROR(VLOOKUP(A911,'表3（采购界面）'!A:Z,11,0),"NA"))</f>
        <v/>
      </c>
      <c r="R911" s="34" t="str">
        <f t="shared" si="108"/>
        <v/>
      </c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</row>
    <row r="912" spans="10:33" x14ac:dyDescent="0.2">
      <c r="J912" s="34"/>
      <c r="K912" s="34" t="str">
        <f t="shared" si="105"/>
        <v/>
      </c>
      <c r="L912" s="34" t="str">
        <f t="shared" si="103"/>
        <v/>
      </c>
      <c r="M912" s="34" t="str">
        <f t="shared" si="106"/>
        <v/>
      </c>
      <c r="N912" s="34" t="str">
        <f t="shared" si="107"/>
        <v/>
      </c>
      <c r="O912" s="34" t="str">
        <f t="shared" si="104"/>
        <v/>
      </c>
      <c r="P912" s="34" t="str">
        <f>IF(A912="","",IFERROR(VLOOKUP(A912,'表3（采购界面）'!A:J,10,0),"NA"))</f>
        <v/>
      </c>
      <c r="Q912" s="34" t="str">
        <f>IF(A912="","",IFERROR(VLOOKUP(A912,'表3（采购界面）'!A:Z,11,0),"NA"))</f>
        <v/>
      </c>
      <c r="R912" s="34" t="str">
        <f t="shared" si="108"/>
        <v/>
      </c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</row>
    <row r="913" spans="10:33" x14ac:dyDescent="0.2">
      <c r="J913" s="34"/>
      <c r="K913" s="34" t="str">
        <f t="shared" si="105"/>
        <v/>
      </c>
      <c r="L913" s="34" t="str">
        <f t="shared" si="103"/>
        <v/>
      </c>
      <c r="M913" s="34" t="str">
        <f t="shared" si="106"/>
        <v/>
      </c>
      <c r="N913" s="34" t="str">
        <f t="shared" si="107"/>
        <v/>
      </c>
      <c r="O913" s="34" t="str">
        <f t="shared" si="104"/>
        <v/>
      </c>
      <c r="P913" s="34" t="str">
        <f>IF(A913="","",IFERROR(VLOOKUP(A913,'表3（采购界面）'!A:J,10,0),"NA"))</f>
        <v/>
      </c>
      <c r="Q913" s="34" t="str">
        <f>IF(A913="","",IFERROR(VLOOKUP(A913,'表3（采购界面）'!A:Z,11,0),"NA"))</f>
        <v/>
      </c>
      <c r="R913" s="34" t="str">
        <f t="shared" si="108"/>
        <v/>
      </c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</row>
    <row r="914" spans="10:33" x14ac:dyDescent="0.2">
      <c r="J914" s="34"/>
      <c r="K914" s="34" t="str">
        <f t="shared" si="105"/>
        <v/>
      </c>
      <c r="L914" s="34" t="str">
        <f t="shared" si="103"/>
        <v/>
      </c>
      <c r="M914" s="34" t="str">
        <f t="shared" si="106"/>
        <v/>
      </c>
      <c r="N914" s="34" t="str">
        <f t="shared" si="107"/>
        <v/>
      </c>
      <c r="O914" s="34" t="str">
        <f t="shared" si="104"/>
        <v/>
      </c>
      <c r="P914" s="34" t="str">
        <f>IF(A914="","",IFERROR(VLOOKUP(A914,'表3（采购界面）'!A:J,10,0),"NA"))</f>
        <v/>
      </c>
      <c r="Q914" s="34" t="str">
        <f>IF(A914="","",IFERROR(VLOOKUP(A914,'表3（采购界面）'!A:Z,11,0),"NA"))</f>
        <v/>
      </c>
      <c r="R914" s="34" t="str">
        <f t="shared" si="108"/>
        <v/>
      </c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</row>
    <row r="915" spans="10:33" x14ac:dyDescent="0.2">
      <c r="J915" s="34"/>
      <c r="K915" s="34" t="str">
        <f t="shared" si="105"/>
        <v/>
      </c>
      <c r="L915" s="34" t="str">
        <f t="shared" si="103"/>
        <v/>
      </c>
      <c r="M915" s="34" t="str">
        <f t="shared" si="106"/>
        <v/>
      </c>
      <c r="N915" s="34" t="str">
        <f t="shared" si="107"/>
        <v/>
      </c>
      <c r="O915" s="34" t="str">
        <f t="shared" si="104"/>
        <v/>
      </c>
      <c r="P915" s="34" t="str">
        <f>IF(A915="","",IFERROR(VLOOKUP(A915,'表3（采购界面）'!A:J,10,0),"NA"))</f>
        <v/>
      </c>
      <c r="Q915" s="34" t="str">
        <f>IF(A915="","",IFERROR(VLOOKUP(A915,'表3（采购界面）'!A:Z,11,0),"NA"))</f>
        <v/>
      </c>
      <c r="R915" s="34" t="str">
        <f t="shared" si="108"/>
        <v/>
      </c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</row>
    <row r="916" spans="10:33" x14ac:dyDescent="0.2">
      <c r="J916" s="34"/>
      <c r="K916" s="34" t="str">
        <f t="shared" si="105"/>
        <v/>
      </c>
      <c r="L916" s="34" t="str">
        <f t="shared" si="103"/>
        <v/>
      </c>
      <c r="M916" s="34" t="str">
        <f t="shared" si="106"/>
        <v/>
      </c>
      <c r="N916" s="34" t="str">
        <f t="shared" si="107"/>
        <v/>
      </c>
      <c r="O916" s="34" t="str">
        <f t="shared" si="104"/>
        <v/>
      </c>
      <c r="P916" s="34" t="str">
        <f>IF(A916="","",IFERROR(VLOOKUP(A916,'表3（采购界面）'!A:J,10,0),"NA"))</f>
        <v/>
      </c>
      <c r="Q916" s="34" t="str">
        <f>IF(A916="","",IFERROR(VLOOKUP(A916,'表3（采购界面）'!A:Z,11,0),"NA"))</f>
        <v/>
      </c>
      <c r="R916" s="34" t="str">
        <f t="shared" si="108"/>
        <v/>
      </c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</row>
    <row r="917" spans="10:33" x14ac:dyDescent="0.2">
      <c r="J917" s="34"/>
      <c r="K917" s="34" t="str">
        <f t="shared" si="105"/>
        <v/>
      </c>
      <c r="L917" s="34" t="str">
        <f t="shared" si="103"/>
        <v/>
      </c>
      <c r="M917" s="34" t="str">
        <f t="shared" si="106"/>
        <v/>
      </c>
      <c r="N917" s="34" t="str">
        <f t="shared" si="107"/>
        <v/>
      </c>
      <c r="O917" s="34" t="str">
        <f t="shared" si="104"/>
        <v/>
      </c>
      <c r="P917" s="34" t="str">
        <f>IF(A917="","",IFERROR(VLOOKUP(A917,'表3（采购界面）'!A:J,10,0),"NA"))</f>
        <v/>
      </c>
      <c r="Q917" s="34" t="str">
        <f>IF(A917="","",IFERROR(VLOOKUP(A917,'表3（采购界面）'!A:Z,11,0),"NA"))</f>
        <v/>
      </c>
      <c r="R917" s="34" t="str">
        <f t="shared" si="108"/>
        <v/>
      </c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</row>
    <row r="918" spans="10:33" x14ac:dyDescent="0.2">
      <c r="J918" s="34"/>
      <c r="K918" s="34" t="str">
        <f t="shared" si="105"/>
        <v/>
      </c>
      <c r="L918" s="34" t="str">
        <f t="shared" si="103"/>
        <v/>
      </c>
      <c r="M918" s="34" t="str">
        <f t="shared" si="106"/>
        <v/>
      </c>
      <c r="N918" s="34" t="str">
        <f t="shared" si="107"/>
        <v/>
      </c>
      <c r="O918" s="34" t="str">
        <f t="shared" si="104"/>
        <v/>
      </c>
      <c r="P918" s="34" t="str">
        <f>IF(A918="","",IFERROR(VLOOKUP(A918,'表3（采购界面）'!A:J,10,0),"NA"))</f>
        <v/>
      </c>
      <c r="Q918" s="34" t="str">
        <f>IF(A918="","",IFERROR(VLOOKUP(A918,'表3（采购界面）'!A:Z,11,0),"NA"))</f>
        <v/>
      </c>
      <c r="R918" s="34" t="str">
        <f t="shared" si="108"/>
        <v/>
      </c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</row>
    <row r="919" spans="10:33" x14ac:dyDescent="0.2">
      <c r="J919" s="34"/>
      <c r="K919" s="34" t="str">
        <f t="shared" si="105"/>
        <v/>
      </c>
      <c r="L919" s="34" t="str">
        <f t="shared" si="103"/>
        <v/>
      </c>
      <c r="M919" s="34" t="str">
        <f t="shared" si="106"/>
        <v/>
      </c>
      <c r="N919" s="34" t="str">
        <f t="shared" si="107"/>
        <v/>
      </c>
      <c r="O919" s="34" t="str">
        <f t="shared" si="104"/>
        <v/>
      </c>
      <c r="P919" s="34" t="str">
        <f>IF(A919="","",IFERROR(VLOOKUP(A919,'表3（采购界面）'!A:J,10,0),"NA"))</f>
        <v/>
      </c>
      <c r="Q919" s="34" t="str">
        <f>IF(A919="","",IFERROR(VLOOKUP(A919,'表3（采购界面）'!A:Z,11,0),"NA"))</f>
        <v/>
      </c>
      <c r="R919" s="34" t="str">
        <f t="shared" si="108"/>
        <v/>
      </c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</row>
    <row r="920" spans="10:33" x14ac:dyDescent="0.2">
      <c r="J920" s="34"/>
      <c r="K920" s="34" t="str">
        <f t="shared" si="105"/>
        <v/>
      </c>
      <c r="L920" s="34" t="str">
        <f t="shared" si="103"/>
        <v/>
      </c>
      <c r="M920" s="34" t="str">
        <f t="shared" si="106"/>
        <v/>
      </c>
      <c r="N920" s="34" t="str">
        <f t="shared" si="107"/>
        <v/>
      </c>
      <c r="O920" s="34" t="str">
        <f t="shared" si="104"/>
        <v/>
      </c>
      <c r="P920" s="34" t="str">
        <f>IF(A920="","",IFERROR(VLOOKUP(A920,'表3（采购界面）'!A:J,10,0),"NA"))</f>
        <v/>
      </c>
      <c r="Q920" s="34" t="str">
        <f>IF(A920="","",IFERROR(VLOOKUP(A920,'表3（采购界面）'!A:Z,11,0),"NA"))</f>
        <v/>
      </c>
      <c r="R920" s="34" t="str">
        <f t="shared" si="108"/>
        <v/>
      </c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</row>
    <row r="921" spans="10:33" x14ac:dyDescent="0.2">
      <c r="J921" s="34"/>
      <c r="K921" s="34" t="str">
        <f t="shared" si="105"/>
        <v/>
      </c>
      <c r="L921" s="34" t="str">
        <f t="shared" si="103"/>
        <v/>
      </c>
      <c r="M921" s="34" t="str">
        <f t="shared" si="106"/>
        <v/>
      </c>
      <c r="N921" s="34" t="str">
        <f t="shared" si="107"/>
        <v/>
      </c>
      <c r="O921" s="34" t="str">
        <f t="shared" si="104"/>
        <v/>
      </c>
      <c r="P921" s="34" t="str">
        <f>IF(A921="","",IFERROR(VLOOKUP(A921,'表3（采购界面）'!A:J,10,0),"NA"))</f>
        <v/>
      </c>
      <c r="Q921" s="34" t="str">
        <f>IF(A921="","",IFERROR(VLOOKUP(A921,'表3（采购界面）'!A:Z,11,0),"NA"))</f>
        <v/>
      </c>
      <c r="R921" s="34" t="str">
        <f t="shared" si="108"/>
        <v/>
      </c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</row>
    <row r="922" spans="10:33" x14ac:dyDescent="0.2">
      <c r="J922" s="34"/>
      <c r="K922" s="34" t="str">
        <f t="shared" si="105"/>
        <v/>
      </c>
      <c r="L922" s="34" t="str">
        <f t="shared" si="103"/>
        <v/>
      </c>
      <c r="M922" s="34" t="str">
        <f t="shared" si="106"/>
        <v/>
      </c>
      <c r="N922" s="34" t="str">
        <f t="shared" si="107"/>
        <v/>
      </c>
      <c r="O922" s="34" t="str">
        <f t="shared" si="104"/>
        <v/>
      </c>
      <c r="P922" s="34" t="str">
        <f>IF(A922="","",IFERROR(VLOOKUP(A922,'表3（采购界面）'!A:J,10,0),"NA"))</f>
        <v/>
      </c>
      <c r="Q922" s="34" t="str">
        <f>IF(A922="","",IFERROR(VLOOKUP(A922,'表3（采购界面）'!A:Z,11,0),"NA"))</f>
        <v/>
      </c>
      <c r="R922" s="34" t="str">
        <f t="shared" si="108"/>
        <v/>
      </c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</row>
    <row r="923" spans="10:33" x14ac:dyDescent="0.2">
      <c r="J923" s="34"/>
      <c r="K923" s="34" t="str">
        <f t="shared" si="105"/>
        <v/>
      </c>
      <c r="L923" s="34" t="str">
        <f t="shared" si="103"/>
        <v/>
      </c>
      <c r="M923" s="34" t="str">
        <f t="shared" si="106"/>
        <v/>
      </c>
      <c r="N923" s="34" t="str">
        <f t="shared" si="107"/>
        <v/>
      </c>
      <c r="O923" s="34" t="str">
        <f t="shared" si="104"/>
        <v/>
      </c>
      <c r="P923" s="34" t="str">
        <f>IF(A923="","",IFERROR(VLOOKUP(A923,'表3（采购界面）'!A:J,10,0),"NA"))</f>
        <v/>
      </c>
      <c r="Q923" s="34" t="str">
        <f>IF(A923="","",IFERROR(VLOOKUP(A923,'表3（采购界面）'!A:Z,11,0),"NA"))</f>
        <v/>
      </c>
      <c r="R923" s="34" t="str">
        <f t="shared" si="108"/>
        <v/>
      </c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</row>
    <row r="924" spans="10:33" x14ac:dyDescent="0.2">
      <c r="J924" s="34"/>
      <c r="K924" s="34" t="str">
        <f t="shared" si="105"/>
        <v/>
      </c>
      <c r="L924" s="34" t="str">
        <f t="shared" si="103"/>
        <v/>
      </c>
      <c r="M924" s="34" t="str">
        <f t="shared" si="106"/>
        <v/>
      </c>
      <c r="N924" s="34" t="str">
        <f t="shared" si="107"/>
        <v/>
      </c>
      <c r="O924" s="34" t="str">
        <f t="shared" si="104"/>
        <v/>
      </c>
      <c r="P924" s="34" t="str">
        <f>IF(A924="","",IFERROR(VLOOKUP(A924,'表3（采购界面）'!A:J,10,0),"NA"))</f>
        <v/>
      </c>
      <c r="Q924" s="34" t="str">
        <f>IF(A924="","",IFERROR(VLOOKUP(A924,'表3（采购界面）'!A:Z,11,0),"NA"))</f>
        <v/>
      </c>
      <c r="R924" s="34" t="str">
        <f t="shared" si="108"/>
        <v/>
      </c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</row>
    <row r="925" spans="10:33" x14ac:dyDescent="0.2">
      <c r="J925" s="34"/>
      <c r="K925" s="34" t="str">
        <f t="shared" si="105"/>
        <v/>
      </c>
      <c r="L925" s="34" t="str">
        <f t="shared" si="103"/>
        <v/>
      </c>
      <c r="M925" s="34" t="str">
        <f t="shared" si="106"/>
        <v/>
      </c>
      <c r="N925" s="34" t="str">
        <f t="shared" si="107"/>
        <v/>
      </c>
      <c r="O925" s="34" t="str">
        <f t="shared" si="104"/>
        <v/>
      </c>
      <c r="P925" s="34" t="str">
        <f>IF(A925="","",IFERROR(VLOOKUP(A925,'表3（采购界面）'!A:J,10,0),"NA"))</f>
        <v/>
      </c>
      <c r="Q925" s="34" t="str">
        <f>IF(A925="","",IFERROR(VLOOKUP(A925,'表3（采购界面）'!A:Z,11,0),"NA"))</f>
        <v/>
      </c>
      <c r="R925" s="34" t="str">
        <f t="shared" si="108"/>
        <v/>
      </c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</row>
    <row r="926" spans="10:33" x14ac:dyDescent="0.2">
      <c r="J926" s="34"/>
      <c r="K926" s="34" t="str">
        <f t="shared" si="105"/>
        <v/>
      </c>
      <c r="L926" s="34" t="str">
        <f t="shared" si="103"/>
        <v/>
      </c>
      <c r="M926" s="34" t="str">
        <f t="shared" si="106"/>
        <v/>
      </c>
      <c r="N926" s="34" t="str">
        <f t="shared" si="107"/>
        <v/>
      </c>
      <c r="O926" s="34" t="str">
        <f t="shared" si="104"/>
        <v/>
      </c>
      <c r="P926" s="34" t="str">
        <f>IF(A926="","",IFERROR(VLOOKUP(A926,'表3（采购界面）'!A:J,10,0),"NA"))</f>
        <v/>
      </c>
      <c r="Q926" s="34" t="str">
        <f>IF(A926="","",IFERROR(VLOOKUP(A926,'表3（采购界面）'!A:Z,11,0),"NA"))</f>
        <v/>
      </c>
      <c r="R926" s="34" t="str">
        <f t="shared" si="108"/>
        <v/>
      </c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</row>
    <row r="927" spans="10:33" x14ac:dyDescent="0.2">
      <c r="J927" s="34"/>
      <c r="K927" s="34" t="str">
        <f t="shared" si="105"/>
        <v/>
      </c>
      <c r="L927" s="34" t="str">
        <f t="shared" si="103"/>
        <v/>
      </c>
      <c r="M927" s="34" t="str">
        <f t="shared" si="106"/>
        <v/>
      </c>
      <c r="N927" s="34" t="str">
        <f t="shared" si="107"/>
        <v/>
      </c>
      <c r="O927" s="34" t="str">
        <f t="shared" si="104"/>
        <v/>
      </c>
      <c r="P927" s="34" t="str">
        <f>IF(A927="","",IFERROR(VLOOKUP(A927,'表3（采购界面）'!A:J,10,0),"NA"))</f>
        <v/>
      </c>
      <c r="Q927" s="34" t="str">
        <f>IF(A927="","",IFERROR(VLOOKUP(A927,'表3（采购界面）'!A:Z,11,0),"NA"))</f>
        <v/>
      </c>
      <c r="R927" s="34" t="str">
        <f t="shared" si="108"/>
        <v/>
      </c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</row>
    <row r="928" spans="10:33" x14ac:dyDescent="0.2">
      <c r="J928" s="34"/>
      <c r="K928" s="34" t="str">
        <f t="shared" si="105"/>
        <v/>
      </c>
      <c r="L928" s="34" t="str">
        <f t="shared" si="103"/>
        <v/>
      </c>
      <c r="M928" s="34" t="str">
        <f t="shared" si="106"/>
        <v/>
      </c>
      <c r="N928" s="34" t="str">
        <f t="shared" si="107"/>
        <v/>
      </c>
      <c r="O928" s="34" t="str">
        <f t="shared" si="104"/>
        <v/>
      </c>
      <c r="P928" s="34" t="str">
        <f>IF(A928="","",IFERROR(VLOOKUP(A928,'表3（采购界面）'!A:J,10,0),"NA"))</f>
        <v/>
      </c>
      <c r="Q928" s="34" t="str">
        <f>IF(A928="","",IFERROR(VLOOKUP(A928,'表3（采购界面）'!A:Z,11,0),"NA"))</f>
        <v/>
      </c>
      <c r="R928" s="34" t="str">
        <f t="shared" si="108"/>
        <v/>
      </c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</row>
    <row r="929" spans="10:33" x14ac:dyDescent="0.2">
      <c r="J929" s="34"/>
      <c r="K929" s="34" t="str">
        <f t="shared" si="105"/>
        <v/>
      </c>
      <c r="L929" s="34" t="str">
        <f t="shared" si="103"/>
        <v/>
      </c>
      <c r="M929" s="34" t="str">
        <f t="shared" si="106"/>
        <v/>
      </c>
      <c r="N929" s="34" t="str">
        <f t="shared" si="107"/>
        <v/>
      </c>
      <c r="O929" s="34" t="str">
        <f t="shared" si="104"/>
        <v/>
      </c>
      <c r="P929" s="34" t="str">
        <f>IF(A929="","",IFERROR(VLOOKUP(A929,'表3（采购界面）'!A:J,10,0),"NA"))</f>
        <v/>
      </c>
      <c r="Q929" s="34" t="str">
        <f>IF(A929="","",IFERROR(VLOOKUP(A929,'表3（采购界面）'!A:Z,11,0),"NA"))</f>
        <v/>
      </c>
      <c r="R929" s="34" t="str">
        <f t="shared" si="108"/>
        <v/>
      </c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</row>
    <row r="930" spans="10:33" x14ac:dyDescent="0.2">
      <c r="J930" s="34"/>
      <c r="K930" s="34" t="str">
        <f t="shared" si="105"/>
        <v/>
      </c>
      <c r="L930" s="34" t="str">
        <f t="shared" si="103"/>
        <v/>
      </c>
      <c r="M930" s="34" t="str">
        <f t="shared" si="106"/>
        <v/>
      </c>
      <c r="N930" s="34" t="str">
        <f t="shared" si="107"/>
        <v/>
      </c>
      <c r="O930" s="34" t="str">
        <f t="shared" si="104"/>
        <v/>
      </c>
      <c r="P930" s="34" t="str">
        <f>IF(A930="","",IFERROR(VLOOKUP(A930,'表3（采购界面）'!A:J,10,0),"NA"))</f>
        <v/>
      </c>
      <c r="Q930" s="34" t="str">
        <f>IF(A930="","",IFERROR(VLOOKUP(A930,'表3（采购界面）'!A:Z,11,0),"NA"))</f>
        <v/>
      </c>
      <c r="R930" s="34" t="str">
        <f t="shared" si="108"/>
        <v/>
      </c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</row>
    <row r="931" spans="10:33" x14ac:dyDescent="0.2">
      <c r="J931" s="34"/>
      <c r="K931" s="34" t="str">
        <f t="shared" si="105"/>
        <v/>
      </c>
      <c r="L931" s="34" t="str">
        <f t="shared" si="103"/>
        <v/>
      </c>
      <c r="M931" s="34" t="str">
        <f t="shared" si="106"/>
        <v/>
      </c>
      <c r="N931" s="34" t="str">
        <f t="shared" si="107"/>
        <v/>
      </c>
      <c r="O931" s="34" t="str">
        <f t="shared" si="104"/>
        <v/>
      </c>
      <c r="P931" s="34" t="str">
        <f>IF(A931="","",IFERROR(VLOOKUP(A931,'表3（采购界面）'!A:J,10,0),"NA"))</f>
        <v/>
      </c>
      <c r="Q931" s="34" t="str">
        <f>IF(A931="","",IFERROR(VLOOKUP(A931,'表3（采购界面）'!A:Z,11,0),"NA"))</f>
        <v/>
      </c>
      <c r="R931" s="34" t="str">
        <f t="shared" si="108"/>
        <v/>
      </c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</row>
    <row r="932" spans="10:33" x14ac:dyDescent="0.2">
      <c r="J932" s="34"/>
      <c r="K932" s="34" t="str">
        <f t="shared" si="105"/>
        <v/>
      </c>
      <c r="L932" s="34" t="str">
        <f t="shared" si="103"/>
        <v/>
      </c>
      <c r="M932" s="34" t="str">
        <f t="shared" si="106"/>
        <v/>
      </c>
      <c r="N932" s="34" t="str">
        <f t="shared" si="107"/>
        <v/>
      </c>
      <c r="O932" s="34" t="str">
        <f t="shared" si="104"/>
        <v/>
      </c>
      <c r="P932" s="34" t="str">
        <f>IF(A932="","",IFERROR(VLOOKUP(A932,'表3（采购界面）'!A:J,10,0),"NA"))</f>
        <v/>
      </c>
      <c r="Q932" s="34" t="str">
        <f>IF(A932="","",IFERROR(VLOOKUP(A932,'表3（采购界面）'!A:Z,11,0),"NA"))</f>
        <v/>
      </c>
      <c r="R932" s="34" t="str">
        <f t="shared" si="108"/>
        <v/>
      </c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</row>
    <row r="933" spans="10:33" x14ac:dyDescent="0.2">
      <c r="J933" s="34"/>
      <c r="K933" s="34" t="str">
        <f t="shared" si="105"/>
        <v/>
      </c>
      <c r="L933" s="34" t="str">
        <f t="shared" si="103"/>
        <v/>
      </c>
      <c r="M933" s="34" t="str">
        <f t="shared" si="106"/>
        <v/>
      </c>
      <c r="N933" s="34" t="str">
        <f t="shared" si="107"/>
        <v/>
      </c>
      <c r="O933" s="34" t="str">
        <f t="shared" si="104"/>
        <v/>
      </c>
      <c r="P933" s="34" t="str">
        <f>IF(A933="","",IFERROR(VLOOKUP(A933,'表3（采购界面）'!A:J,10,0),"NA"))</f>
        <v/>
      </c>
      <c r="Q933" s="34" t="str">
        <f>IF(A933="","",IFERROR(VLOOKUP(A933,'表3（采购界面）'!A:Z,11,0),"NA"))</f>
        <v/>
      </c>
      <c r="R933" s="34" t="str">
        <f t="shared" si="108"/>
        <v/>
      </c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</row>
    <row r="934" spans="10:33" x14ac:dyDescent="0.2">
      <c r="J934" s="34"/>
      <c r="K934" s="34" t="str">
        <f t="shared" si="105"/>
        <v/>
      </c>
      <c r="L934" s="34" t="str">
        <f t="shared" si="103"/>
        <v/>
      </c>
      <c r="M934" s="34" t="str">
        <f t="shared" si="106"/>
        <v/>
      </c>
      <c r="N934" s="34" t="str">
        <f t="shared" si="107"/>
        <v/>
      </c>
      <c r="O934" s="34" t="str">
        <f t="shared" si="104"/>
        <v/>
      </c>
      <c r="P934" s="34" t="str">
        <f>IF(A934="","",IFERROR(VLOOKUP(A934,'表3（采购界面）'!A:J,10,0),"NA"))</f>
        <v/>
      </c>
      <c r="Q934" s="34" t="str">
        <f>IF(A934="","",IFERROR(VLOOKUP(A934,'表3（采购界面）'!A:Z,11,0),"NA"))</f>
        <v/>
      </c>
      <c r="R934" s="34" t="str">
        <f t="shared" si="108"/>
        <v/>
      </c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</row>
    <row r="935" spans="10:33" x14ac:dyDescent="0.2">
      <c r="J935" s="34"/>
      <c r="K935" s="34" t="str">
        <f t="shared" si="105"/>
        <v/>
      </c>
      <c r="L935" s="34" t="str">
        <f t="shared" si="103"/>
        <v/>
      </c>
      <c r="M935" s="34" t="str">
        <f t="shared" si="106"/>
        <v/>
      </c>
      <c r="N935" s="34" t="str">
        <f t="shared" si="107"/>
        <v/>
      </c>
      <c r="O935" s="34" t="str">
        <f t="shared" si="104"/>
        <v/>
      </c>
      <c r="P935" s="34" t="str">
        <f>IF(A935="","",IFERROR(VLOOKUP(A935,'表3（采购界面）'!A:J,10,0),"NA"))</f>
        <v/>
      </c>
      <c r="Q935" s="34" t="str">
        <f>IF(A935="","",IFERROR(VLOOKUP(A935,'表3（采购界面）'!A:Z,11,0),"NA"))</f>
        <v/>
      </c>
      <c r="R935" s="34" t="str">
        <f t="shared" si="108"/>
        <v/>
      </c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</row>
    <row r="936" spans="10:33" x14ac:dyDescent="0.2">
      <c r="J936" s="34"/>
      <c r="K936" s="34" t="str">
        <f t="shared" si="105"/>
        <v/>
      </c>
      <c r="L936" s="34" t="str">
        <f t="shared" si="103"/>
        <v/>
      </c>
      <c r="M936" s="34" t="str">
        <f t="shared" si="106"/>
        <v/>
      </c>
      <c r="N936" s="34" t="str">
        <f t="shared" si="107"/>
        <v/>
      </c>
      <c r="O936" s="34" t="str">
        <f t="shared" si="104"/>
        <v/>
      </c>
      <c r="P936" s="34" t="str">
        <f>IF(A936="","",IFERROR(VLOOKUP(A936,'表3（采购界面）'!A:J,10,0),"NA"))</f>
        <v/>
      </c>
      <c r="Q936" s="34" t="str">
        <f>IF(A936="","",IFERROR(VLOOKUP(A936,'表3（采购界面）'!A:Z,11,0),"NA"))</f>
        <v/>
      </c>
      <c r="R936" s="34" t="str">
        <f t="shared" si="108"/>
        <v/>
      </c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</row>
    <row r="937" spans="10:33" x14ac:dyDescent="0.2">
      <c r="J937" s="34"/>
      <c r="K937" s="34" t="str">
        <f t="shared" si="105"/>
        <v/>
      </c>
      <c r="L937" s="34" t="str">
        <f t="shared" si="103"/>
        <v/>
      </c>
      <c r="M937" s="34" t="str">
        <f t="shared" si="106"/>
        <v/>
      </c>
      <c r="N937" s="34" t="str">
        <f t="shared" si="107"/>
        <v/>
      </c>
      <c r="O937" s="34" t="str">
        <f t="shared" si="104"/>
        <v/>
      </c>
      <c r="P937" s="34" t="str">
        <f>IF(A937="","",IFERROR(VLOOKUP(A937,'表3（采购界面）'!A:J,10,0),"NA"))</f>
        <v/>
      </c>
      <c r="Q937" s="34" t="str">
        <f>IF(A937="","",IFERROR(VLOOKUP(A937,'表3（采购界面）'!A:Z,11,0),"NA"))</f>
        <v/>
      </c>
      <c r="R937" s="34" t="str">
        <f t="shared" si="108"/>
        <v/>
      </c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</row>
    <row r="938" spans="10:33" x14ac:dyDescent="0.2">
      <c r="J938" s="34"/>
      <c r="K938" s="34" t="str">
        <f t="shared" si="105"/>
        <v/>
      </c>
      <c r="L938" s="34" t="str">
        <f t="shared" si="103"/>
        <v/>
      </c>
      <c r="M938" s="34" t="str">
        <f t="shared" si="106"/>
        <v/>
      </c>
      <c r="N938" s="34" t="str">
        <f t="shared" si="107"/>
        <v/>
      </c>
      <c r="O938" s="34" t="str">
        <f t="shared" si="104"/>
        <v/>
      </c>
      <c r="P938" s="34" t="str">
        <f>IF(A938="","",IFERROR(VLOOKUP(A938,'表3（采购界面）'!A:J,10,0),"NA"))</f>
        <v/>
      </c>
      <c r="Q938" s="34" t="str">
        <f>IF(A938="","",IFERROR(VLOOKUP(A938,'表3（采购界面）'!A:Z,11,0),"NA"))</f>
        <v/>
      </c>
      <c r="R938" s="34" t="str">
        <f t="shared" si="108"/>
        <v/>
      </c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</row>
    <row r="939" spans="10:33" x14ac:dyDescent="0.2">
      <c r="J939" s="34"/>
      <c r="K939" s="34" t="str">
        <f t="shared" si="105"/>
        <v/>
      </c>
      <c r="L939" s="34" t="str">
        <f t="shared" si="103"/>
        <v/>
      </c>
      <c r="M939" s="34" t="str">
        <f t="shared" si="106"/>
        <v/>
      </c>
      <c r="N939" s="34" t="str">
        <f t="shared" si="107"/>
        <v/>
      </c>
      <c r="O939" s="34" t="str">
        <f t="shared" si="104"/>
        <v/>
      </c>
      <c r="P939" s="34" t="str">
        <f>IF(A939="","",IFERROR(VLOOKUP(A939,'表3（采购界面）'!A:J,10,0),"NA"))</f>
        <v/>
      </c>
      <c r="Q939" s="34" t="str">
        <f>IF(A939="","",IFERROR(VLOOKUP(A939,'表3（采购界面）'!A:Z,11,0),"NA"))</f>
        <v/>
      </c>
      <c r="R939" s="34" t="str">
        <f t="shared" si="108"/>
        <v/>
      </c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</row>
    <row r="940" spans="10:33" x14ac:dyDescent="0.2">
      <c r="J940" s="34"/>
      <c r="K940" s="34" t="str">
        <f t="shared" si="105"/>
        <v/>
      </c>
      <c r="L940" s="34" t="str">
        <f t="shared" si="103"/>
        <v/>
      </c>
      <c r="M940" s="34" t="str">
        <f t="shared" si="106"/>
        <v/>
      </c>
      <c r="N940" s="34" t="str">
        <f t="shared" si="107"/>
        <v/>
      </c>
      <c r="O940" s="34" t="str">
        <f t="shared" si="104"/>
        <v/>
      </c>
      <c r="P940" s="34" t="str">
        <f>IF(A940="","",IFERROR(VLOOKUP(A940,'表3（采购界面）'!A:J,10,0),"NA"))</f>
        <v/>
      </c>
      <c r="Q940" s="34" t="str">
        <f>IF(A940="","",IFERROR(VLOOKUP(A940,'表3（采购界面）'!A:Z,11,0),"NA"))</f>
        <v/>
      </c>
      <c r="R940" s="34" t="str">
        <f t="shared" si="108"/>
        <v/>
      </c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</row>
    <row r="941" spans="10:33" x14ac:dyDescent="0.2">
      <c r="J941" s="34"/>
      <c r="K941" s="34" t="str">
        <f t="shared" si="105"/>
        <v/>
      </c>
      <c r="L941" s="34" t="str">
        <f t="shared" si="103"/>
        <v/>
      </c>
      <c r="M941" s="34" t="str">
        <f t="shared" si="106"/>
        <v/>
      </c>
      <c r="N941" s="34" t="str">
        <f t="shared" si="107"/>
        <v/>
      </c>
      <c r="O941" s="34" t="str">
        <f t="shared" si="104"/>
        <v/>
      </c>
      <c r="P941" s="34" t="str">
        <f>IF(A941="","",IFERROR(VLOOKUP(A941,'表3（采购界面）'!A:J,10,0),"NA"))</f>
        <v/>
      </c>
      <c r="Q941" s="34" t="str">
        <f>IF(A941="","",IFERROR(VLOOKUP(A941,'表3（采购界面）'!A:Z,11,0),"NA"))</f>
        <v/>
      </c>
      <c r="R941" s="34" t="str">
        <f t="shared" si="108"/>
        <v/>
      </c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</row>
    <row r="942" spans="10:33" x14ac:dyDescent="0.2">
      <c r="J942" s="34"/>
      <c r="K942" s="34" t="str">
        <f t="shared" si="105"/>
        <v/>
      </c>
      <c r="L942" s="34" t="str">
        <f t="shared" si="103"/>
        <v/>
      </c>
      <c r="M942" s="34" t="str">
        <f t="shared" si="106"/>
        <v/>
      </c>
      <c r="N942" s="34" t="str">
        <f t="shared" si="107"/>
        <v/>
      </c>
      <c r="O942" s="34" t="str">
        <f t="shared" si="104"/>
        <v/>
      </c>
      <c r="P942" s="34" t="str">
        <f>IF(A942="","",IFERROR(VLOOKUP(A942,'表3（采购界面）'!A:J,10,0),"NA"))</f>
        <v/>
      </c>
      <c r="Q942" s="34" t="str">
        <f>IF(A942="","",IFERROR(VLOOKUP(A942,'表3（采购界面）'!A:Z,11,0),"NA"))</f>
        <v/>
      </c>
      <c r="R942" s="34" t="str">
        <f t="shared" si="108"/>
        <v/>
      </c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</row>
    <row r="943" spans="10:33" x14ac:dyDescent="0.2">
      <c r="J943" s="34"/>
      <c r="K943" s="34" t="str">
        <f t="shared" si="105"/>
        <v/>
      </c>
      <c r="L943" s="34" t="str">
        <f t="shared" si="103"/>
        <v/>
      </c>
      <c r="M943" s="34" t="str">
        <f t="shared" si="106"/>
        <v/>
      </c>
      <c r="N943" s="34" t="str">
        <f t="shared" si="107"/>
        <v/>
      </c>
      <c r="O943" s="34" t="str">
        <f t="shared" si="104"/>
        <v/>
      </c>
      <c r="P943" s="34" t="str">
        <f>IF(A943="","",IFERROR(VLOOKUP(A943,'表3（采购界面）'!A:J,10,0),"NA"))</f>
        <v/>
      </c>
      <c r="Q943" s="34" t="str">
        <f>IF(A943="","",IFERROR(VLOOKUP(A943,'表3（采购界面）'!A:Z,11,0),"NA"))</f>
        <v/>
      </c>
      <c r="R943" s="34" t="str">
        <f t="shared" si="108"/>
        <v/>
      </c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</row>
    <row r="944" spans="10:33" x14ac:dyDescent="0.2">
      <c r="J944" s="34"/>
      <c r="K944" s="34" t="str">
        <f t="shared" si="105"/>
        <v/>
      </c>
      <c r="L944" s="34" t="str">
        <f t="shared" si="103"/>
        <v/>
      </c>
      <c r="M944" s="34" t="str">
        <f t="shared" si="106"/>
        <v/>
      </c>
      <c r="N944" s="34" t="str">
        <f t="shared" si="107"/>
        <v/>
      </c>
      <c r="O944" s="34" t="str">
        <f t="shared" si="104"/>
        <v/>
      </c>
      <c r="P944" s="34" t="str">
        <f>IF(A944="","",IFERROR(VLOOKUP(A944,'表3（采购界面）'!A:J,10,0),"NA"))</f>
        <v/>
      </c>
      <c r="Q944" s="34" t="str">
        <f>IF(A944="","",IFERROR(VLOOKUP(A944,'表3（采购界面）'!A:Z,11,0),"NA"))</f>
        <v/>
      </c>
      <c r="R944" s="34" t="str">
        <f t="shared" si="108"/>
        <v/>
      </c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</row>
    <row r="945" spans="10:33" x14ac:dyDescent="0.2">
      <c r="J945" s="34"/>
      <c r="K945" s="34" t="str">
        <f t="shared" si="105"/>
        <v/>
      </c>
      <c r="L945" s="34" t="str">
        <f t="shared" si="103"/>
        <v/>
      </c>
      <c r="M945" s="34" t="str">
        <f t="shared" si="106"/>
        <v/>
      </c>
      <c r="N945" s="34" t="str">
        <f t="shared" si="107"/>
        <v/>
      </c>
      <c r="O945" s="34" t="str">
        <f t="shared" si="104"/>
        <v/>
      </c>
      <c r="P945" s="34" t="str">
        <f>IF(A945="","",IFERROR(VLOOKUP(A945,'表3（采购界面）'!A:J,10,0),"NA"))</f>
        <v/>
      </c>
      <c r="Q945" s="34" t="str">
        <f>IF(A945="","",IFERROR(VLOOKUP(A945,'表3（采购界面）'!A:Z,11,0),"NA"))</f>
        <v/>
      </c>
      <c r="R945" s="34" t="str">
        <f t="shared" si="108"/>
        <v/>
      </c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</row>
    <row r="946" spans="10:33" x14ac:dyDescent="0.2">
      <c r="J946" s="34"/>
      <c r="K946" s="34" t="str">
        <f t="shared" si="105"/>
        <v/>
      </c>
      <c r="L946" s="34" t="str">
        <f t="shared" si="103"/>
        <v/>
      </c>
      <c r="M946" s="34" t="str">
        <f t="shared" si="106"/>
        <v/>
      </c>
      <c r="N946" s="34" t="str">
        <f t="shared" si="107"/>
        <v/>
      </c>
      <c r="O946" s="34" t="str">
        <f t="shared" si="104"/>
        <v/>
      </c>
      <c r="P946" s="34" t="str">
        <f>IF(A946="","",IFERROR(VLOOKUP(A946,'表3（采购界面）'!A:J,10,0),"NA"))</f>
        <v/>
      </c>
      <c r="Q946" s="34" t="str">
        <f>IF(A946="","",IFERROR(VLOOKUP(A946,'表3（采购界面）'!A:Z,11,0),"NA"))</f>
        <v/>
      </c>
      <c r="R946" s="34" t="str">
        <f t="shared" si="108"/>
        <v/>
      </c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</row>
    <row r="947" spans="10:33" x14ac:dyDescent="0.2">
      <c r="J947" s="34"/>
      <c r="K947" s="34" t="str">
        <f t="shared" si="105"/>
        <v/>
      </c>
      <c r="L947" s="34" t="str">
        <f t="shared" si="103"/>
        <v/>
      </c>
      <c r="M947" s="34" t="str">
        <f t="shared" si="106"/>
        <v/>
      </c>
      <c r="N947" s="34" t="str">
        <f t="shared" si="107"/>
        <v/>
      </c>
      <c r="O947" s="34" t="str">
        <f t="shared" si="104"/>
        <v/>
      </c>
      <c r="P947" s="34" t="str">
        <f>IF(A947="","",IFERROR(VLOOKUP(A947,'表3（采购界面）'!A:J,10,0),"NA"))</f>
        <v/>
      </c>
      <c r="Q947" s="34" t="str">
        <f>IF(A947="","",IFERROR(VLOOKUP(A947,'表3（采购界面）'!A:Z,11,0),"NA"))</f>
        <v/>
      </c>
      <c r="R947" s="34" t="str">
        <f t="shared" si="108"/>
        <v/>
      </c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</row>
    <row r="948" spans="10:33" x14ac:dyDescent="0.2">
      <c r="J948" s="34"/>
      <c r="K948" s="34" t="str">
        <f t="shared" si="105"/>
        <v/>
      </c>
      <c r="L948" s="34" t="str">
        <f t="shared" si="103"/>
        <v/>
      </c>
      <c r="M948" s="34" t="str">
        <f t="shared" si="106"/>
        <v/>
      </c>
      <c r="N948" s="34" t="str">
        <f t="shared" si="107"/>
        <v/>
      </c>
      <c r="O948" s="34" t="str">
        <f t="shared" si="104"/>
        <v/>
      </c>
      <c r="P948" s="34" t="str">
        <f>IF(A948="","",IFERROR(VLOOKUP(A948,'表3（采购界面）'!A:J,10,0),"NA"))</f>
        <v/>
      </c>
      <c r="Q948" s="34" t="str">
        <f>IF(A948="","",IFERROR(VLOOKUP(A948,'表3（采购界面）'!A:Z,11,0),"NA"))</f>
        <v/>
      </c>
      <c r="R948" s="34" t="str">
        <f t="shared" si="108"/>
        <v/>
      </c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</row>
    <row r="949" spans="10:33" x14ac:dyDescent="0.2">
      <c r="J949" s="34"/>
      <c r="K949" s="34" t="str">
        <f t="shared" si="105"/>
        <v/>
      </c>
      <c r="L949" s="34" t="str">
        <f t="shared" si="103"/>
        <v/>
      </c>
      <c r="M949" s="34" t="str">
        <f t="shared" si="106"/>
        <v/>
      </c>
      <c r="N949" s="34" t="str">
        <f t="shared" si="107"/>
        <v/>
      </c>
      <c r="O949" s="34" t="str">
        <f t="shared" si="104"/>
        <v/>
      </c>
      <c r="P949" s="34" t="str">
        <f>IF(A949="","",IFERROR(VLOOKUP(A949,'表3（采购界面）'!A:J,10,0),"NA"))</f>
        <v/>
      </c>
      <c r="Q949" s="34" t="str">
        <f>IF(A949="","",IFERROR(VLOOKUP(A949,'表3（采购界面）'!A:Z,11,0),"NA"))</f>
        <v/>
      </c>
      <c r="R949" s="34" t="str">
        <f t="shared" si="108"/>
        <v/>
      </c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</row>
    <row r="950" spans="10:33" x14ac:dyDescent="0.2">
      <c r="J950" s="34"/>
      <c r="K950" s="34" t="str">
        <f t="shared" si="105"/>
        <v/>
      </c>
      <c r="L950" s="34" t="str">
        <f t="shared" si="103"/>
        <v/>
      </c>
      <c r="M950" s="34" t="str">
        <f t="shared" si="106"/>
        <v/>
      </c>
      <c r="N950" s="34" t="str">
        <f t="shared" si="107"/>
        <v/>
      </c>
      <c r="O950" s="34" t="str">
        <f t="shared" si="104"/>
        <v/>
      </c>
      <c r="P950" s="34" t="str">
        <f>IF(A950="","",IFERROR(VLOOKUP(A950,'表3（采购界面）'!A:J,10,0),"NA"))</f>
        <v/>
      </c>
      <c r="Q950" s="34" t="str">
        <f>IF(A950="","",IFERROR(VLOOKUP(A950,'表3（采购界面）'!A:Z,11,0),"NA"))</f>
        <v/>
      </c>
      <c r="R950" s="34" t="str">
        <f t="shared" si="108"/>
        <v/>
      </c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</row>
    <row r="951" spans="10:33" x14ac:dyDescent="0.2">
      <c r="J951" s="34"/>
      <c r="K951" s="34" t="str">
        <f t="shared" si="105"/>
        <v/>
      </c>
      <c r="L951" s="34" t="str">
        <f t="shared" si="103"/>
        <v/>
      </c>
      <c r="M951" s="34" t="str">
        <f t="shared" si="106"/>
        <v/>
      </c>
      <c r="N951" s="34" t="str">
        <f t="shared" si="107"/>
        <v/>
      </c>
      <c r="O951" s="34" t="str">
        <f t="shared" si="104"/>
        <v/>
      </c>
      <c r="P951" s="34" t="str">
        <f>IF(A951="","",IFERROR(VLOOKUP(A951,'表3（采购界面）'!A:J,10,0),"NA"))</f>
        <v/>
      </c>
      <c r="Q951" s="34" t="str">
        <f>IF(A951="","",IFERROR(VLOOKUP(A951,'表3（采购界面）'!A:Z,11,0),"NA"))</f>
        <v/>
      </c>
      <c r="R951" s="34" t="str">
        <f t="shared" si="108"/>
        <v/>
      </c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</row>
    <row r="952" spans="10:33" x14ac:dyDescent="0.2">
      <c r="J952" s="34"/>
      <c r="K952" s="34" t="str">
        <f t="shared" si="105"/>
        <v/>
      </c>
      <c r="L952" s="34" t="str">
        <f t="shared" si="103"/>
        <v/>
      </c>
      <c r="M952" s="34" t="str">
        <f t="shared" si="106"/>
        <v/>
      </c>
      <c r="N952" s="34" t="str">
        <f t="shared" si="107"/>
        <v/>
      </c>
      <c r="O952" s="34" t="str">
        <f t="shared" si="104"/>
        <v/>
      </c>
      <c r="P952" s="34" t="str">
        <f>IF(A952="","",IFERROR(VLOOKUP(A952,'表3（采购界面）'!A:J,10,0),"NA"))</f>
        <v/>
      </c>
      <c r="Q952" s="34" t="str">
        <f>IF(A952="","",IFERROR(VLOOKUP(A952,'表3（采购界面）'!A:Z,11,0),"NA"))</f>
        <v/>
      </c>
      <c r="R952" s="34" t="str">
        <f t="shared" si="108"/>
        <v/>
      </c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</row>
    <row r="953" spans="10:33" x14ac:dyDescent="0.2">
      <c r="J953" s="34"/>
      <c r="K953" s="34" t="str">
        <f t="shared" si="105"/>
        <v/>
      </c>
      <c r="L953" s="34" t="str">
        <f t="shared" si="103"/>
        <v/>
      </c>
      <c r="M953" s="34" t="str">
        <f t="shared" si="106"/>
        <v/>
      </c>
      <c r="N953" s="34" t="str">
        <f t="shared" si="107"/>
        <v/>
      </c>
      <c r="O953" s="34" t="str">
        <f t="shared" si="104"/>
        <v/>
      </c>
      <c r="P953" s="34" t="str">
        <f>IF(A953="","",IFERROR(VLOOKUP(A953,'表3（采购界面）'!A:J,10,0),"NA"))</f>
        <v/>
      </c>
      <c r="Q953" s="34" t="str">
        <f>IF(A953="","",IFERROR(VLOOKUP(A953,'表3（采购界面）'!A:Z,11,0),"NA"))</f>
        <v/>
      </c>
      <c r="R953" s="34" t="str">
        <f t="shared" si="108"/>
        <v/>
      </c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</row>
    <row r="954" spans="10:33" x14ac:dyDescent="0.2">
      <c r="J954" s="34"/>
      <c r="K954" s="34" t="str">
        <f t="shared" si="105"/>
        <v/>
      </c>
      <c r="L954" s="34" t="str">
        <f t="shared" si="103"/>
        <v/>
      </c>
      <c r="M954" s="34" t="str">
        <f t="shared" si="106"/>
        <v/>
      </c>
      <c r="N954" s="34" t="str">
        <f t="shared" si="107"/>
        <v/>
      </c>
      <c r="O954" s="34" t="str">
        <f t="shared" si="104"/>
        <v/>
      </c>
      <c r="P954" s="34" t="str">
        <f>IF(A954="","",IFERROR(VLOOKUP(A954,'表3（采购界面）'!A:J,10,0),"NA"))</f>
        <v/>
      </c>
      <c r="Q954" s="34" t="str">
        <f>IF(A954="","",IFERROR(VLOOKUP(A954,'表3（采购界面）'!A:Z,11,0),"NA"))</f>
        <v/>
      </c>
      <c r="R954" s="34" t="str">
        <f t="shared" si="108"/>
        <v/>
      </c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</row>
    <row r="955" spans="10:33" x14ac:dyDescent="0.2">
      <c r="J955" s="34"/>
      <c r="K955" s="34" t="str">
        <f t="shared" si="105"/>
        <v/>
      </c>
      <c r="L955" s="34" t="str">
        <f t="shared" si="103"/>
        <v/>
      </c>
      <c r="M955" s="34" t="str">
        <f t="shared" si="106"/>
        <v/>
      </c>
      <c r="N955" s="34" t="str">
        <f t="shared" si="107"/>
        <v/>
      </c>
      <c r="O955" s="34" t="str">
        <f t="shared" si="104"/>
        <v/>
      </c>
      <c r="P955" s="34" t="str">
        <f>IF(A955="","",IFERROR(VLOOKUP(A955,'表3（采购界面）'!A:J,10,0),"NA"))</f>
        <v/>
      </c>
      <c r="Q955" s="34" t="str">
        <f>IF(A955="","",IFERROR(VLOOKUP(A955,'表3（采购界面）'!A:Z,11,0),"NA"))</f>
        <v/>
      </c>
      <c r="R955" s="34" t="str">
        <f t="shared" si="108"/>
        <v/>
      </c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</row>
    <row r="956" spans="10:33" x14ac:dyDescent="0.2">
      <c r="J956" s="34"/>
      <c r="K956" s="34" t="str">
        <f t="shared" si="105"/>
        <v/>
      </c>
      <c r="L956" s="34" t="str">
        <f t="shared" si="103"/>
        <v/>
      </c>
      <c r="M956" s="34" t="str">
        <f t="shared" si="106"/>
        <v/>
      </c>
      <c r="N956" s="34" t="str">
        <f t="shared" si="107"/>
        <v/>
      </c>
      <c r="O956" s="34" t="str">
        <f t="shared" si="104"/>
        <v/>
      </c>
      <c r="P956" s="34" t="str">
        <f>IF(A956="","",IFERROR(VLOOKUP(A956,'表3（采购界面）'!A:J,10,0),"NA"))</f>
        <v/>
      </c>
      <c r="Q956" s="34" t="str">
        <f>IF(A956="","",IFERROR(VLOOKUP(A956,'表3（采购界面）'!A:Z,11,0),"NA"))</f>
        <v/>
      </c>
      <c r="R956" s="34" t="str">
        <f t="shared" si="108"/>
        <v/>
      </c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</row>
    <row r="957" spans="10:33" x14ac:dyDescent="0.2">
      <c r="J957" s="34"/>
      <c r="K957" s="34" t="str">
        <f t="shared" si="105"/>
        <v/>
      </c>
      <c r="L957" s="34" t="str">
        <f t="shared" si="103"/>
        <v/>
      </c>
      <c r="M957" s="34" t="str">
        <f t="shared" si="106"/>
        <v/>
      </c>
      <c r="N957" s="34" t="str">
        <f t="shared" si="107"/>
        <v/>
      </c>
      <c r="O957" s="34" t="str">
        <f t="shared" si="104"/>
        <v/>
      </c>
      <c r="P957" s="34" t="str">
        <f>IF(A957="","",IFERROR(VLOOKUP(A957,'表3（采购界面）'!A:J,10,0),"NA"))</f>
        <v/>
      </c>
      <c r="Q957" s="34" t="str">
        <f>IF(A957="","",IFERROR(VLOOKUP(A957,'表3（采购界面）'!A:Z,11,0),"NA"))</f>
        <v/>
      </c>
      <c r="R957" s="34" t="str">
        <f t="shared" si="108"/>
        <v/>
      </c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</row>
    <row r="958" spans="10:33" x14ac:dyDescent="0.2">
      <c r="J958" s="34"/>
      <c r="K958" s="34" t="str">
        <f t="shared" si="105"/>
        <v/>
      </c>
      <c r="L958" s="34" t="str">
        <f t="shared" si="103"/>
        <v/>
      </c>
      <c r="M958" s="34" t="str">
        <f t="shared" si="106"/>
        <v/>
      </c>
      <c r="N958" s="34" t="str">
        <f t="shared" si="107"/>
        <v/>
      </c>
      <c r="O958" s="34" t="str">
        <f t="shared" si="104"/>
        <v/>
      </c>
      <c r="P958" s="34" t="str">
        <f>IF(A958="","",IFERROR(VLOOKUP(A958,'表3（采购界面）'!A:J,10,0),"NA"))</f>
        <v/>
      </c>
      <c r="Q958" s="34" t="str">
        <f>IF(A958="","",IFERROR(VLOOKUP(A958,'表3（采购界面）'!A:Z,11,0),"NA"))</f>
        <v/>
      </c>
      <c r="R958" s="34" t="str">
        <f t="shared" si="108"/>
        <v/>
      </c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</row>
    <row r="959" spans="10:33" x14ac:dyDescent="0.2">
      <c r="J959" s="34"/>
      <c r="K959" s="34" t="str">
        <f t="shared" si="105"/>
        <v/>
      </c>
      <c r="L959" s="34" t="str">
        <f t="shared" si="103"/>
        <v/>
      </c>
      <c r="M959" s="34" t="str">
        <f t="shared" si="106"/>
        <v/>
      </c>
      <c r="N959" s="34" t="str">
        <f t="shared" si="107"/>
        <v/>
      </c>
      <c r="O959" s="34" t="str">
        <f t="shared" si="104"/>
        <v/>
      </c>
      <c r="P959" s="34" t="str">
        <f>IF(A959="","",IFERROR(VLOOKUP(A959,'表3（采购界面）'!A:J,10,0),"NA"))</f>
        <v/>
      </c>
      <c r="Q959" s="34" t="str">
        <f>IF(A959="","",IFERROR(VLOOKUP(A959,'表3（采购界面）'!A:Z,11,0),"NA"))</f>
        <v/>
      </c>
      <c r="R959" s="34" t="str">
        <f t="shared" si="108"/>
        <v/>
      </c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</row>
    <row r="960" spans="10:33" x14ac:dyDescent="0.2">
      <c r="J960" s="34"/>
      <c r="K960" s="34" t="str">
        <f t="shared" si="105"/>
        <v/>
      </c>
      <c r="L960" s="34" t="str">
        <f t="shared" si="103"/>
        <v/>
      </c>
      <c r="M960" s="34" t="str">
        <f t="shared" si="106"/>
        <v/>
      </c>
      <c r="N960" s="34" t="str">
        <f t="shared" si="107"/>
        <v/>
      </c>
      <c r="O960" s="34" t="str">
        <f t="shared" si="104"/>
        <v/>
      </c>
      <c r="P960" s="34" t="str">
        <f>IF(A960="","",IFERROR(VLOOKUP(A960,'表3（采购界面）'!A:J,10,0),"NA"))</f>
        <v/>
      </c>
      <c r="Q960" s="34" t="str">
        <f>IF(A960="","",IFERROR(VLOOKUP(A960,'表3（采购界面）'!A:Z,11,0),"NA"))</f>
        <v/>
      </c>
      <c r="R960" s="34" t="str">
        <f t="shared" si="108"/>
        <v/>
      </c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</row>
    <row r="961" spans="10:33" x14ac:dyDescent="0.2">
      <c r="J961" s="34"/>
      <c r="K961" s="34" t="str">
        <f t="shared" si="105"/>
        <v/>
      </c>
      <c r="L961" s="34" t="str">
        <f t="shared" si="103"/>
        <v/>
      </c>
      <c r="M961" s="34" t="str">
        <f t="shared" si="106"/>
        <v/>
      </c>
      <c r="N961" s="34" t="str">
        <f t="shared" si="107"/>
        <v/>
      </c>
      <c r="O961" s="34" t="str">
        <f t="shared" si="104"/>
        <v/>
      </c>
      <c r="P961" s="34" t="str">
        <f>IF(A961="","",IFERROR(VLOOKUP(A961,'表3（采购界面）'!A:J,10,0),"NA"))</f>
        <v/>
      </c>
      <c r="Q961" s="34" t="str">
        <f>IF(A961="","",IFERROR(VLOOKUP(A961,'表3（采购界面）'!A:Z,11,0),"NA"))</f>
        <v/>
      </c>
      <c r="R961" s="34" t="str">
        <f t="shared" si="108"/>
        <v/>
      </c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</row>
    <row r="962" spans="10:33" x14ac:dyDescent="0.2">
      <c r="J962" s="34"/>
      <c r="K962" s="34" t="str">
        <f t="shared" si="105"/>
        <v/>
      </c>
      <c r="L962" s="34" t="str">
        <f t="shared" si="103"/>
        <v/>
      </c>
      <c r="M962" s="34" t="str">
        <f t="shared" si="106"/>
        <v/>
      </c>
      <c r="N962" s="34" t="str">
        <f t="shared" si="107"/>
        <v/>
      </c>
      <c r="O962" s="34" t="str">
        <f t="shared" si="104"/>
        <v/>
      </c>
      <c r="P962" s="34" t="str">
        <f>IF(A962="","",IFERROR(VLOOKUP(A962,'表3（采购界面）'!A:J,10,0),"NA"))</f>
        <v/>
      </c>
      <c r="Q962" s="34" t="str">
        <f>IF(A962="","",IFERROR(VLOOKUP(A962,'表3（采购界面）'!A:Z,11,0),"NA"))</f>
        <v/>
      </c>
      <c r="R962" s="34" t="str">
        <f t="shared" si="108"/>
        <v/>
      </c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</row>
    <row r="963" spans="10:33" x14ac:dyDescent="0.2">
      <c r="J963" s="34"/>
      <c r="K963" s="34" t="str">
        <f t="shared" si="105"/>
        <v/>
      </c>
      <c r="L963" s="34" t="str">
        <f t="shared" si="103"/>
        <v/>
      </c>
      <c r="M963" s="34" t="str">
        <f t="shared" si="106"/>
        <v/>
      </c>
      <c r="N963" s="34" t="str">
        <f t="shared" si="107"/>
        <v/>
      </c>
      <c r="O963" s="34" t="str">
        <f t="shared" si="104"/>
        <v/>
      </c>
      <c r="P963" s="34" t="str">
        <f>IF(A963="","",IFERROR(VLOOKUP(A963,'表3（采购界面）'!A:J,10,0),"NA"))</f>
        <v/>
      </c>
      <c r="Q963" s="34" t="str">
        <f>IF(A963="","",IFERROR(VLOOKUP(A963,'表3（采购界面）'!A:Z,11,0),"NA"))</f>
        <v/>
      </c>
      <c r="R963" s="34" t="str">
        <f t="shared" si="108"/>
        <v/>
      </c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</row>
    <row r="964" spans="10:33" x14ac:dyDescent="0.2">
      <c r="J964" s="34"/>
      <c r="K964" s="34" t="str">
        <f t="shared" si="105"/>
        <v/>
      </c>
      <c r="L964" s="34" t="str">
        <f t="shared" si="103"/>
        <v/>
      </c>
      <c r="M964" s="34" t="str">
        <f t="shared" si="106"/>
        <v/>
      </c>
      <c r="N964" s="34" t="str">
        <f t="shared" si="107"/>
        <v/>
      </c>
      <c r="O964" s="34" t="str">
        <f t="shared" si="104"/>
        <v/>
      </c>
      <c r="P964" s="34" t="str">
        <f>IF(A964="","",IFERROR(VLOOKUP(A964,'表3（采购界面）'!A:J,10,0),"NA"))</f>
        <v/>
      </c>
      <c r="Q964" s="34" t="str">
        <f>IF(A964="","",IFERROR(VLOOKUP(A964,'表3（采购界面）'!A:Z,11,0),"NA"))</f>
        <v/>
      </c>
      <c r="R964" s="34" t="str">
        <f t="shared" si="108"/>
        <v/>
      </c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</row>
    <row r="965" spans="10:33" x14ac:dyDescent="0.2">
      <c r="J965" s="34"/>
      <c r="K965" s="34" t="str">
        <f t="shared" si="105"/>
        <v/>
      </c>
      <c r="L965" s="34" t="str">
        <f t="shared" ref="L965:L999" si="109">_xlfn.IFS(LEFT(A965)="1","MB",LEFT(A965)="2","WB",LEFT(A965)="3","WB",AND(LEFT(A965)="4",D965&lt;&gt;"中国",J965&lt;&gt;"Y01"),"FX",A965&lt;&gt;"","EX",A965="","")</f>
        <v/>
      </c>
      <c r="M965" s="34" t="str">
        <f t="shared" si="106"/>
        <v/>
      </c>
      <c r="N965" s="34" t="str">
        <f t="shared" si="107"/>
        <v/>
      </c>
      <c r="O965" s="34" t="str">
        <f t="shared" ref="O965:O999" si="110">IF(OR(LEFT(A965,1)="4",LEFT(A965,1)="5"),"NA","")</f>
        <v/>
      </c>
      <c r="P965" s="34" t="str">
        <f>IF(A965="","",IFERROR(VLOOKUP(A965,'表3（采购界面）'!A:J,10,0),"NA"))</f>
        <v/>
      </c>
      <c r="Q965" s="34" t="str">
        <f>IF(A965="","",IFERROR(VLOOKUP(A965,'表3（采购界面）'!A:Z,11,0),"NA"))</f>
        <v/>
      </c>
      <c r="R965" s="34" t="str">
        <f t="shared" si="108"/>
        <v/>
      </c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</row>
    <row r="966" spans="10:33" x14ac:dyDescent="0.2">
      <c r="J966" s="34"/>
      <c r="K966" s="34" t="str">
        <f t="shared" ref="K966:K999" si="111">_xlfn.IFS(AND(LEFT(A966,1)="4",D966="中国"),"ND",AND(LEFT(A966,1)="5",D966="中国"),"ND",AND(LEFT(A966,1)="5",D966&lt;&gt;"中国"),"M2",A966="","",A966&lt;&gt;"","PD")</f>
        <v/>
      </c>
      <c r="L966" s="34" t="str">
        <f t="shared" si="109"/>
        <v/>
      </c>
      <c r="M966" s="34" t="str">
        <f t="shared" ref="M966:M999" si="112">IF(OR(L966="FX",L966=""),"","NA")</f>
        <v/>
      </c>
      <c r="N966" s="34" t="str">
        <f t="shared" ref="N966:N999" si="113">IF(A966="","","NA")</f>
        <v/>
      </c>
      <c r="O966" s="34" t="str">
        <f t="shared" si="110"/>
        <v/>
      </c>
      <c r="P966" s="34" t="str">
        <f>IF(A966="","",IFERROR(VLOOKUP(A966,'表3（采购界面）'!A:J,10,0),"NA"))</f>
        <v/>
      </c>
      <c r="Q966" s="34" t="str">
        <f>IF(A966="","",IFERROR(VLOOKUP(A966,'表3（采购界面）'!A:Z,11,0),"NA"))</f>
        <v/>
      </c>
      <c r="R966" s="34" t="str">
        <f t="shared" ref="R966:R999" si="114">IF(A966="","",IF(OR(LEFT(A966,1)="1",LEFT(A966,1)="2",LEFT(A966,1)="3"),"F","E"))</f>
        <v/>
      </c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</row>
    <row r="967" spans="10:33" x14ac:dyDescent="0.2">
      <c r="J967" s="34"/>
      <c r="K967" s="34" t="str">
        <f t="shared" si="111"/>
        <v/>
      </c>
      <c r="L967" s="34" t="str">
        <f t="shared" si="109"/>
        <v/>
      </c>
      <c r="M967" s="34" t="str">
        <f t="shared" si="112"/>
        <v/>
      </c>
      <c r="N967" s="34" t="str">
        <f t="shared" si="113"/>
        <v/>
      </c>
      <c r="O967" s="34" t="str">
        <f t="shared" si="110"/>
        <v/>
      </c>
      <c r="P967" s="34" t="str">
        <f>IF(A967="","",IFERROR(VLOOKUP(A967,'表3（采购界面）'!A:J,10,0),"NA"))</f>
        <v/>
      </c>
      <c r="Q967" s="34" t="str">
        <f>IF(A967="","",IFERROR(VLOOKUP(A967,'表3（采购界面）'!A:Z,11,0),"NA"))</f>
        <v/>
      </c>
      <c r="R967" s="34" t="str">
        <f t="shared" si="114"/>
        <v/>
      </c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</row>
    <row r="968" spans="10:33" x14ac:dyDescent="0.2">
      <c r="J968" s="34"/>
      <c r="K968" s="34" t="str">
        <f t="shared" si="111"/>
        <v/>
      </c>
      <c r="L968" s="34" t="str">
        <f t="shared" si="109"/>
        <v/>
      </c>
      <c r="M968" s="34" t="str">
        <f t="shared" si="112"/>
        <v/>
      </c>
      <c r="N968" s="34" t="str">
        <f t="shared" si="113"/>
        <v/>
      </c>
      <c r="O968" s="34" t="str">
        <f t="shared" si="110"/>
        <v/>
      </c>
      <c r="P968" s="34" t="str">
        <f>IF(A968="","",IFERROR(VLOOKUP(A968,'表3（采购界面）'!A:J,10,0),"NA"))</f>
        <v/>
      </c>
      <c r="Q968" s="34" t="str">
        <f>IF(A968="","",IFERROR(VLOOKUP(A968,'表3（采购界面）'!A:Z,11,0),"NA"))</f>
        <v/>
      </c>
      <c r="R968" s="34" t="str">
        <f t="shared" si="114"/>
        <v/>
      </c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</row>
    <row r="969" spans="10:33" x14ac:dyDescent="0.2">
      <c r="J969" s="34"/>
      <c r="K969" s="34" t="str">
        <f t="shared" si="111"/>
        <v/>
      </c>
      <c r="L969" s="34" t="str">
        <f t="shared" si="109"/>
        <v/>
      </c>
      <c r="M969" s="34" t="str">
        <f t="shared" si="112"/>
        <v/>
      </c>
      <c r="N969" s="34" t="str">
        <f t="shared" si="113"/>
        <v/>
      </c>
      <c r="O969" s="34" t="str">
        <f t="shared" si="110"/>
        <v/>
      </c>
      <c r="P969" s="34" t="str">
        <f>IF(A969="","",IFERROR(VLOOKUP(A969,'表3（采购界面）'!A:J,10,0),"NA"))</f>
        <v/>
      </c>
      <c r="Q969" s="34" t="str">
        <f>IF(A969="","",IFERROR(VLOOKUP(A969,'表3（采购界面）'!A:Z,11,0),"NA"))</f>
        <v/>
      </c>
      <c r="R969" s="34" t="str">
        <f t="shared" si="114"/>
        <v/>
      </c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</row>
    <row r="970" spans="10:33" x14ac:dyDescent="0.2">
      <c r="J970" s="34"/>
      <c r="K970" s="34" t="str">
        <f t="shared" si="111"/>
        <v/>
      </c>
      <c r="L970" s="34" t="str">
        <f t="shared" si="109"/>
        <v/>
      </c>
      <c r="M970" s="34" t="str">
        <f t="shared" si="112"/>
        <v/>
      </c>
      <c r="N970" s="34" t="str">
        <f t="shared" si="113"/>
        <v/>
      </c>
      <c r="O970" s="34" t="str">
        <f t="shared" si="110"/>
        <v/>
      </c>
      <c r="P970" s="34" t="str">
        <f>IF(A970="","",IFERROR(VLOOKUP(A970,'表3（采购界面）'!A:J,10,0),"NA"))</f>
        <v/>
      </c>
      <c r="Q970" s="34" t="str">
        <f>IF(A970="","",IFERROR(VLOOKUP(A970,'表3（采购界面）'!A:Z,11,0),"NA"))</f>
        <v/>
      </c>
      <c r="R970" s="34" t="str">
        <f t="shared" si="114"/>
        <v/>
      </c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</row>
    <row r="971" spans="10:33" x14ac:dyDescent="0.2">
      <c r="J971" s="34"/>
      <c r="K971" s="34" t="str">
        <f t="shared" si="111"/>
        <v/>
      </c>
      <c r="L971" s="34" t="str">
        <f t="shared" si="109"/>
        <v/>
      </c>
      <c r="M971" s="34" t="str">
        <f t="shared" si="112"/>
        <v/>
      </c>
      <c r="N971" s="34" t="str">
        <f t="shared" si="113"/>
        <v/>
      </c>
      <c r="O971" s="34" t="str">
        <f t="shared" si="110"/>
        <v/>
      </c>
      <c r="P971" s="34" t="str">
        <f>IF(A971="","",IFERROR(VLOOKUP(A971,'表3（采购界面）'!A:J,10,0),"NA"))</f>
        <v/>
      </c>
      <c r="Q971" s="34" t="str">
        <f>IF(A971="","",IFERROR(VLOOKUP(A971,'表3（采购界面）'!A:Z,11,0),"NA"))</f>
        <v/>
      </c>
      <c r="R971" s="34" t="str">
        <f t="shared" si="114"/>
        <v/>
      </c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</row>
    <row r="972" spans="10:33" x14ac:dyDescent="0.2">
      <c r="J972" s="34"/>
      <c r="K972" s="34" t="str">
        <f t="shared" si="111"/>
        <v/>
      </c>
      <c r="L972" s="34" t="str">
        <f t="shared" si="109"/>
        <v/>
      </c>
      <c r="M972" s="34" t="str">
        <f t="shared" si="112"/>
        <v/>
      </c>
      <c r="N972" s="34" t="str">
        <f t="shared" si="113"/>
        <v/>
      </c>
      <c r="O972" s="34" t="str">
        <f t="shared" si="110"/>
        <v/>
      </c>
      <c r="P972" s="34" t="str">
        <f>IF(A972="","",IFERROR(VLOOKUP(A972,'表3（采购界面）'!A:J,10,0),"NA"))</f>
        <v/>
      </c>
      <c r="Q972" s="34" t="str">
        <f>IF(A972="","",IFERROR(VLOOKUP(A972,'表3（采购界面）'!A:Z,11,0),"NA"))</f>
        <v/>
      </c>
      <c r="R972" s="34" t="str">
        <f t="shared" si="114"/>
        <v/>
      </c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</row>
    <row r="973" spans="10:33" x14ac:dyDescent="0.2">
      <c r="J973" s="34"/>
      <c r="K973" s="34" t="str">
        <f t="shared" si="111"/>
        <v/>
      </c>
      <c r="L973" s="34" t="str">
        <f t="shared" si="109"/>
        <v/>
      </c>
      <c r="M973" s="34" t="str">
        <f t="shared" si="112"/>
        <v/>
      </c>
      <c r="N973" s="34" t="str">
        <f t="shared" si="113"/>
        <v/>
      </c>
      <c r="O973" s="34" t="str">
        <f t="shared" si="110"/>
        <v/>
      </c>
      <c r="P973" s="34" t="str">
        <f>IF(A973="","",IFERROR(VLOOKUP(A973,'表3（采购界面）'!A:J,10,0),"NA"))</f>
        <v/>
      </c>
      <c r="Q973" s="34" t="str">
        <f>IF(A973="","",IFERROR(VLOOKUP(A973,'表3（采购界面）'!A:Z,11,0),"NA"))</f>
        <v/>
      </c>
      <c r="R973" s="34" t="str">
        <f t="shared" si="114"/>
        <v/>
      </c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</row>
    <row r="974" spans="10:33" x14ac:dyDescent="0.2">
      <c r="J974" s="34"/>
      <c r="K974" s="34" t="str">
        <f t="shared" si="111"/>
        <v/>
      </c>
      <c r="L974" s="34" t="str">
        <f t="shared" si="109"/>
        <v/>
      </c>
      <c r="M974" s="34" t="str">
        <f t="shared" si="112"/>
        <v/>
      </c>
      <c r="N974" s="34" t="str">
        <f t="shared" si="113"/>
        <v/>
      </c>
      <c r="O974" s="34" t="str">
        <f t="shared" si="110"/>
        <v/>
      </c>
      <c r="P974" s="34" t="str">
        <f>IF(A974="","",IFERROR(VLOOKUP(A974,'表3（采购界面）'!A:J,10,0),"NA"))</f>
        <v/>
      </c>
      <c r="Q974" s="34" t="str">
        <f>IF(A974="","",IFERROR(VLOOKUP(A974,'表3（采购界面）'!A:Z,11,0),"NA"))</f>
        <v/>
      </c>
      <c r="R974" s="34" t="str">
        <f t="shared" si="114"/>
        <v/>
      </c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</row>
    <row r="975" spans="10:33" x14ac:dyDescent="0.2">
      <c r="J975" s="34"/>
      <c r="K975" s="34" t="str">
        <f t="shared" si="111"/>
        <v/>
      </c>
      <c r="L975" s="34" t="str">
        <f t="shared" si="109"/>
        <v/>
      </c>
      <c r="M975" s="34" t="str">
        <f t="shared" si="112"/>
        <v/>
      </c>
      <c r="N975" s="34" t="str">
        <f t="shared" si="113"/>
        <v/>
      </c>
      <c r="O975" s="34" t="str">
        <f t="shared" si="110"/>
        <v/>
      </c>
      <c r="P975" s="34" t="str">
        <f>IF(A975="","",IFERROR(VLOOKUP(A975,'表3（采购界面）'!A:J,10,0),"NA"))</f>
        <v/>
      </c>
      <c r="Q975" s="34" t="str">
        <f>IF(A975="","",IFERROR(VLOOKUP(A975,'表3（采购界面）'!A:Z,11,0),"NA"))</f>
        <v/>
      </c>
      <c r="R975" s="34" t="str">
        <f t="shared" si="114"/>
        <v/>
      </c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</row>
    <row r="976" spans="10:33" x14ac:dyDescent="0.2">
      <c r="J976" s="34"/>
      <c r="K976" s="34" t="str">
        <f t="shared" si="111"/>
        <v/>
      </c>
      <c r="L976" s="34" t="str">
        <f t="shared" si="109"/>
        <v/>
      </c>
      <c r="M976" s="34" t="str">
        <f t="shared" si="112"/>
        <v/>
      </c>
      <c r="N976" s="34" t="str">
        <f t="shared" si="113"/>
        <v/>
      </c>
      <c r="O976" s="34" t="str">
        <f t="shared" si="110"/>
        <v/>
      </c>
      <c r="P976" s="34" t="str">
        <f>IF(A976="","",IFERROR(VLOOKUP(A976,'表3（采购界面）'!A:J,10,0),"NA"))</f>
        <v/>
      </c>
      <c r="Q976" s="34" t="str">
        <f>IF(A976="","",IFERROR(VLOOKUP(A976,'表3（采购界面）'!A:Z,11,0),"NA"))</f>
        <v/>
      </c>
      <c r="R976" s="34" t="str">
        <f t="shared" si="114"/>
        <v/>
      </c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</row>
    <row r="977" spans="10:33" x14ac:dyDescent="0.2">
      <c r="J977" s="34"/>
      <c r="K977" s="34" t="str">
        <f t="shared" si="111"/>
        <v/>
      </c>
      <c r="L977" s="34" t="str">
        <f t="shared" si="109"/>
        <v/>
      </c>
      <c r="M977" s="34" t="str">
        <f t="shared" si="112"/>
        <v/>
      </c>
      <c r="N977" s="34" t="str">
        <f t="shared" si="113"/>
        <v/>
      </c>
      <c r="O977" s="34" t="str">
        <f t="shared" si="110"/>
        <v/>
      </c>
      <c r="P977" s="34" t="str">
        <f>IF(A977="","",IFERROR(VLOOKUP(A977,'表3（采购界面）'!A:J,10,0),"NA"))</f>
        <v/>
      </c>
      <c r="Q977" s="34" t="str">
        <f>IF(A977="","",IFERROR(VLOOKUP(A977,'表3（采购界面）'!A:Z,11,0),"NA"))</f>
        <v/>
      </c>
      <c r="R977" s="34" t="str">
        <f t="shared" si="114"/>
        <v/>
      </c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</row>
    <row r="978" spans="10:33" x14ac:dyDescent="0.2">
      <c r="J978" s="34"/>
      <c r="K978" s="34" t="str">
        <f t="shared" si="111"/>
        <v/>
      </c>
      <c r="L978" s="34" t="str">
        <f t="shared" si="109"/>
        <v/>
      </c>
      <c r="M978" s="34" t="str">
        <f t="shared" si="112"/>
        <v/>
      </c>
      <c r="N978" s="34" t="str">
        <f t="shared" si="113"/>
        <v/>
      </c>
      <c r="O978" s="34" t="str">
        <f t="shared" si="110"/>
        <v/>
      </c>
      <c r="P978" s="34" t="str">
        <f>IF(A978="","",IFERROR(VLOOKUP(A978,'表3（采购界面）'!A:J,10,0),"NA"))</f>
        <v/>
      </c>
      <c r="Q978" s="34" t="str">
        <f>IF(A978="","",IFERROR(VLOOKUP(A978,'表3（采购界面）'!A:Z,11,0),"NA"))</f>
        <v/>
      </c>
      <c r="R978" s="34" t="str">
        <f t="shared" si="114"/>
        <v/>
      </c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</row>
    <row r="979" spans="10:33" x14ac:dyDescent="0.2">
      <c r="J979" s="34"/>
      <c r="K979" s="34" t="str">
        <f t="shared" si="111"/>
        <v/>
      </c>
      <c r="L979" s="34" t="str">
        <f t="shared" si="109"/>
        <v/>
      </c>
      <c r="M979" s="34" t="str">
        <f t="shared" si="112"/>
        <v/>
      </c>
      <c r="N979" s="34" t="str">
        <f t="shared" si="113"/>
        <v/>
      </c>
      <c r="O979" s="34" t="str">
        <f t="shared" si="110"/>
        <v/>
      </c>
      <c r="P979" s="34" t="str">
        <f>IF(A979="","",IFERROR(VLOOKUP(A979,'表3（采购界面）'!A:J,10,0),"NA"))</f>
        <v/>
      </c>
      <c r="Q979" s="34" t="str">
        <f>IF(A979="","",IFERROR(VLOOKUP(A979,'表3（采购界面）'!A:Z,11,0),"NA"))</f>
        <v/>
      </c>
      <c r="R979" s="34" t="str">
        <f t="shared" si="114"/>
        <v/>
      </c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</row>
    <row r="980" spans="10:33" x14ac:dyDescent="0.2">
      <c r="J980" s="34"/>
      <c r="K980" s="34" t="str">
        <f t="shared" si="111"/>
        <v/>
      </c>
      <c r="L980" s="34" t="str">
        <f t="shared" si="109"/>
        <v/>
      </c>
      <c r="M980" s="34" t="str">
        <f t="shared" si="112"/>
        <v/>
      </c>
      <c r="N980" s="34" t="str">
        <f t="shared" si="113"/>
        <v/>
      </c>
      <c r="O980" s="34" t="str">
        <f t="shared" si="110"/>
        <v/>
      </c>
      <c r="P980" s="34" t="str">
        <f>IF(A980="","",IFERROR(VLOOKUP(A980,'表3（采购界面）'!A:J,10,0),"NA"))</f>
        <v/>
      </c>
      <c r="Q980" s="34" t="str">
        <f>IF(A980="","",IFERROR(VLOOKUP(A980,'表3（采购界面）'!A:Z,11,0),"NA"))</f>
        <v/>
      </c>
      <c r="R980" s="34" t="str">
        <f t="shared" si="114"/>
        <v/>
      </c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</row>
    <row r="981" spans="10:33" x14ac:dyDescent="0.2">
      <c r="J981" s="34"/>
      <c r="K981" s="34" t="str">
        <f t="shared" si="111"/>
        <v/>
      </c>
      <c r="L981" s="34" t="str">
        <f t="shared" si="109"/>
        <v/>
      </c>
      <c r="M981" s="34" t="str">
        <f t="shared" si="112"/>
        <v/>
      </c>
      <c r="N981" s="34" t="str">
        <f t="shared" si="113"/>
        <v/>
      </c>
      <c r="O981" s="34" t="str">
        <f t="shared" si="110"/>
        <v/>
      </c>
      <c r="P981" s="34" t="str">
        <f>IF(A981="","",IFERROR(VLOOKUP(A981,'表3（采购界面）'!A:J,10,0),"NA"))</f>
        <v/>
      </c>
      <c r="Q981" s="34" t="str">
        <f>IF(A981="","",IFERROR(VLOOKUP(A981,'表3（采购界面）'!A:Z,11,0),"NA"))</f>
        <v/>
      </c>
      <c r="R981" s="34" t="str">
        <f t="shared" si="114"/>
        <v/>
      </c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</row>
    <row r="982" spans="10:33" x14ac:dyDescent="0.2">
      <c r="J982" s="34"/>
      <c r="K982" s="34" t="str">
        <f t="shared" si="111"/>
        <v/>
      </c>
      <c r="L982" s="34" t="str">
        <f t="shared" si="109"/>
        <v/>
      </c>
      <c r="M982" s="34" t="str">
        <f t="shared" si="112"/>
        <v/>
      </c>
      <c r="N982" s="34" t="str">
        <f t="shared" si="113"/>
        <v/>
      </c>
      <c r="O982" s="34" t="str">
        <f t="shared" si="110"/>
        <v/>
      </c>
      <c r="P982" s="34" t="str">
        <f>IF(A982="","",IFERROR(VLOOKUP(A982,'表3（采购界面）'!A:J,10,0),"NA"))</f>
        <v/>
      </c>
      <c r="Q982" s="34" t="str">
        <f>IF(A982="","",IFERROR(VLOOKUP(A982,'表3（采购界面）'!A:Z,11,0),"NA"))</f>
        <v/>
      </c>
      <c r="R982" s="34" t="str">
        <f t="shared" si="114"/>
        <v/>
      </c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</row>
    <row r="983" spans="10:33" x14ac:dyDescent="0.2">
      <c r="J983" s="34"/>
      <c r="K983" s="34" t="str">
        <f t="shared" si="111"/>
        <v/>
      </c>
      <c r="L983" s="34" t="str">
        <f t="shared" si="109"/>
        <v/>
      </c>
      <c r="M983" s="34" t="str">
        <f t="shared" si="112"/>
        <v/>
      </c>
      <c r="N983" s="34" t="str">
        <f t="shared" si="113"/>
        <v/>
      </c>
      <c r="O983" s="34" t="str">
        <f t="shared" si="110"/>
        <v/>
      </c>
      <c r="P983" s="34" t="str">
        <f>IF(A983="","",IFERROR(VLOOKUP(A983,'表3（采购界面）'!A:J,10,0),"NA"))</f>
        <v/>
      </c>
      <c r="Q983" s="34" t="str">
        <f>IF(A983="","",IFERROR(VLOOKUP(A983,'表3（采购界面）'!A:Z,11,0),"NA"))</f>
        <v/>
      </c>
      <c r="R983" s="34" t="str">
        <f t="shared" si="114"/>
        <v/>
      </c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</row>
    <row r="984" spans="10:33" x14ac:dyDescent="0.2">
      <c r="J984" s="34"/>
      <c r="K984" s="34" t="str">
        <f t="shared" si="111"/>
        <v/>
      </c>
      <c r="L984" s="34" t="str">
        <f t="shared" si="109"/>
        <v/>
      </c>
      <c r="M984" s="34" t="str">
        <f t="shared" si="112"/>
        <v/>
      </c>
      <c r="N984" s="34" t="str">
        <f t="shared" si="113"/>
        <v/>
      </c>
      <c r="O984" s="34" t="str">
        <f t="shared" si="110"/>
        <v/>
      </c>
      <c r="P984" s="34" t="str">
        <f>IF(A984="","",IFERROR(VLOOKUP(A984,'表3（采购界面）'!A:J,10,0),"NA"))</f>
        <v/>
      </c>
      <c r="Q984" s="34" t="str">
        <f>IF(A984="","",IFERROR(VLOOKUP(A984,'表3（采购界面）'!A:Z,11,0),"NA"))</f>
        <v/>
      </c>
      <c r="R984" s="34" t="str">
        <f t="shared" si="114"/>
        <v/>
      </c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</row>
    <row r="985" spans="10:33" x14ac:dyDescent="0.2">
      <c r="J985" s="34"/>
      <c r="K985" s="34" t="str">
        <f t="shared" si="111"/>
        <v/>
      </c>
      <c r="L985" s="34" t="str">
        <f t="shared" si="109"/>
        <v/>
      </c>
      <c r="M985" s="34" t="str">
        <f t="shared" si="112"/>
        <v/>
      </c>
      <c r="N985" s="34" t="str">
        <f t="shared" si="113"/>
        <v/>
      </c>
      <c r="O985" s="34" t="str">
        <f t="shared" si="110"/>
        <v/>
      </c>
      <c r="P985" s="34" t="str">
        <f>IF(A985="","",IFERROR(VLOOKUP(A985,'表3（采购界面）'!A:J,10,0),"NA"))</f>
        <v/>
      </c>
      <c r="Q985" s="34" t="str">
        <f>IF(A985="","",IFERROR(VLOOKUP(A985,'表3（采购界面）'!A:Z,11,0),"NA"))</f>
        <v/>
      </c>
      <c r="R985" s="34" t="str">
        <f t="shared" si="114"/>
        <v/>
      </c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</row>
    <row r="986" spans="10:33" x14ac:dyDescent="0.2">
      <c r="J986" s="34"/>
      <c r="K986" s="34" t="str">
        <f t="shared" si="111"/>
        <v/>
      </c>
      <c r="L986" s="34" t="str">
        <f t="shared" si="109"/>
        <v/>
      </c>
      <c r="M986" s="34" t="str">
        <f t="shared" si="112"/>
        <v/>
      </c>
      <c r="N986" s="34" t="str">
        <f t="shared" si="113"/>
        <v/>
      </c>
      <c r="O986" s="34" t="str">
        <f t="shared" si="110"/>
        <v/>
      </c>
      <c r="P986" s="34" t="str">
        <f>IF(A986="","",IFERROR(VLOOKUP(A986,'表3（采购界面）'!A:J,10,0),"NA"))</f>
        <v/>
      </c>
      <c r="Q986" s="34" t="str">
        <f>IF(A986="","",IFERROR(VLOOKUP(A986,'表3（采购界面）'!A:Z,11,0),"NA"))</f>
        <v/>
      </c>
      <c r="R986" s="34" t="str">
        <f t="shared" si="114"/>
        <v/>
      </c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</row>
    <row r="987" spans="10:33" x14ac:dyDescent="0.2">
      <c r="J987" s="34"/>
      <c r="K987" s="34" t="str">
        <f t="shared" si="111"/>
        <v/>
      </c>
      <c r="L987" s="34" t="str">
        <f t="shared" si="109"/>
        <v/>
      </c>
      <c r="M987" s="34" t="str">
        <f t="shared" si="112"/>
        <v/>
      </c>
      <c r="N987" s="34" t="str">
        <f t="shared" si="113"/>
        <v/>
      </c>
      <c r="O987" s="34" t="str">
        <f t="shared" si="110"/>
        <v/>
      </c>
      <c r="P987" s="34" t="str">
        <f>IF(A987="","",IFERROR(VLOOKUP(A987,'表3（采购界面）'!A:J,10,0),"NA"))</f>
        <v/>
      </c>
      <c r="Q987" s="34" t="str">
        <f>IF(A987="","",IFERROR(VLOOKUP(A987,'表3（采购界面）'!A:Z,11,0),"NA"))</f>
        <v/>
      </c>
      <c r="R987" s="34" t="str">
        <f t="shared" si="114"/>
        <v/>
      </c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</row>
    <row r="988" spans="10:33" x14ac:dyDescent="0.2">
      <c r="J988" s="34"/>
      <c r="K988" s="34" t="str">
        <f t="shared" si="111"/>
        <v/>
      </c>
      <c r="L988" s="34" t="str">
        <f t="shared" si="109"/>
        <v/>
      </c>
      <c r="M988" s="34" t="str">
        <f t="shared" si="112"/>
        <v/>
      </c>
      <c r="N988" s="34" t="str">
        <f t="shared" si="113"/>
        <v/>
      </c>
      <c r="O988" s="34" t="str">
        <f t="shared" si="110"/>
        <v/>
      </c>
      <c r="P988" s="34" t="str">
        <f>IF(A988="","",IFERROR(VLOOKUP(A988,'表3（采购界面）'!A:J,10,0),"NA"))</f>
        <v/>
      </c>
      <c r="Q988" s="34" t="str">
        <f>IF(A988="","",IFERROR(VLOOKUP(A988,'表3（采购界面）'!A:Z,11,0),"NA"))</f>
        <v/>
      </c>
      <c r="R988" s="34" t="str">
        <f t="shared" si="114"/>
        <v/>
      </c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</row>
    <row r="989" spans="10:33" x14ac:dyDescent="0.2">
      <c r="J989" s="34"/>
      <c r="K989" s="34" t="str">
        <f t="shared" si="111"/>
        <v/>
      </c>
      <c r="L989" s="34" t="str">
        <f t="shared" si="109"/>
        <v/>
      </c>
      <c r="M989" s="34" t="str">
        <f t="shared" si="112"/>
        <v/>
      </c>
      <c r="N989" s="34" t="str">
        <f t="shared" si="113"/>
        <v/>
      </c>
      <c r="O989" s="34" t="str">
        <f t="shared" si="110"/>
        <v/>
      </c>
      <c r="P989" s="34" t="str">
        <f>IF(A989="","",IFERROR(VLOOKUP(A989,'表3（采购界面）'!A:J,10,0),"NA"))</f>
        <v/>
      </c>
      <c r="Q989" s="34" t="str">
        <f>IF(A989="","",IFERROR(VLOOKUP(A989,'表3（采购界面）'!A:Z,11,0),"NA"))</f>
        <v/>
      </c>
      <c r="R989" s="34" t="str">
        <f t="shared" si="114"/>
        <v/>
      </c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</row>
    <row r="990" spans="10:33" x14ac:dyDescent="0.2">
      <c r="J990" s="34"/>
      <c r="K990" s="34" t="str">
        <f t="shared" si="111"/>
        <v/>
      </c>
      <c r="L990" s="34" t="str">
        <f t="shared" si="109"/>
        <v/>
      </c>
      <c r="M990" s="34" t="str">
        <f t="shared" si="112"/>
        <v/>
      </c>
      <c r="N990" s="34" t="str">
        <f t="shared" si="113"/>
        <v/>
      </c>
      <c r="O990" s="34" t="str">
        <f t="shared" si="110"/>
        <v/>
      </c>
      <c r="P990" s="34" t="str">
        <f>IF(A990="","",IFERROR(VLOOKUP(A990,'表3（采购界面）'!A:J,10,0),"NA"))</f>
        <v/>
      </c>
      <c r="Q990" s="34" t="str">
        <f>IF(A990="","",IFERROR(VLOOKUP(A990,'表3（采购界面）'!A:Z,11,0),"NA"))</f>
        <v/>
      </c>
      <c r="R990" s="34" t="str">
        <f t="shared" si="114"/>
        <v/>
      </c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</row>
    <row r="991" spans="10:33" x14ac:dyDescent="0.2">
      <c r="J991" s="34"/>
      <c r="K991" s="34" t="str">
        <f t="shared" si="111"/>
        <v/>
      </c>
      <c r="L991" s="34" t="str">
        <f t="shared" si="109"/>
        <v/>
      </c>
      <c r="M991" s="34" t="str">
        <f t="shared" si="112"/>
        <v/>
      </c>
      <c r="N991" s="34" t="str">
        <f t="shared" si="113"/>
        <v/>
      </c>
      <c r="O991" s="34" t="str">
        <f t="shared" si="110"/>
        <v/>
      </c>
      <c r="P991" s="34" t="str">
        <f>IF(A991="","",IFERROR(VLOOKUP(A991,'表3（采购界面）'!A:J,10,0),"NA"))</f>
        <v/>
      </c>
      <c r="Q991" s="34" t="str">
        <f>IF(A991="","",IFERROR(VLOOKUP(A991,'表3（采购界面）'!A:Z,11,0),"NA"))</f>
        <v/>
      </c>
      <c r="R991" s="34" t="str">
        <f t="shared" si="114"/>
        <v/>
      </c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</row>
    <row r="992" spans="10:33" x14ac:dyDescent="0.2">
      <c r="J992" s="34"/>
      <c r="K992" s="34" t="str">
        <f t="shared" si="111"/>
        <v/>
      </c>
      <c r="L992" s="34" t="str">
        <f t="shared" si="109"/>
        <v/>
      </c>
      <c r="M992" s="34" t="str">
        <f t="shared" si="112"/>
        <v/>
      </c>
      <c r="N992" s="34" t="str">
        <f t="shared" si="113"/>
        <v/>
      </c>
      <c r="O992" s="34" t="str">
        <f t="shared" si="110"/>
        <v/>
      </c>
      <c r="P992" s="34" t="str">
        <f>IF(A992="","",IFERROR(VLOOKUP(A992,'表3（采购界面）'!A:J,10,0),"NA"))</f>
        <v/>
      </c>
      <c r="Q992" s="34" t="str">
        <f>IF(A992="","",IFERROR(VLOOKUP(A992,'表3（采购界面）'!A:Z,11,0),"NA"))</f>
        <v/>
      </c>
      <c r="R992" s="34" t="str">
        <f t="shared" si="114"/>
        <v/>
      </c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</row>
    <row r="993" spans="10:33" x14ac:dyDescent="0.2">
      <c r="J993" s="34"/>
      <c r="K993" s="34" t="str">
        <f t="shared" si="111"/>
        <v/>
      </c>
      <c r="L993" s="34" t="str">
        <f t="shared" si="109"/>
        <v/>
      </c>
      <c r="M993" s="34" t="str">
        <f t="shared" si="112"/>
        <v/>
      </c>
      <c r="N993" s="34" t="str">
        <f t="shared" si="113"/>
        <v/>
      </c>
      <c r="O993" s="34" t="str">
        <f t="shared" si="110"/>
        <v/>
      </c>
      <c r="P993" s="34" t="str">
        <f>IF(A993="","",IFERROR(VLOOKUP(A993,'表3（采购界面）'!A:J,10,0),"NA"))</f>
        <v/>
      </c>
      <c r="Q993" s="34" t="str">
        <f>IF(A993="","",IFERROR(VLOOKUP(A993,'表3（采购界面）'!A:Z,11,0),"NA"))</f>
        <v/>
      </c>
      <c r="R993" s="34" t="str">
        <f t="shared" si="114"/>
        <v/>
      </c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</row>
    <row r="994" spans="10:33" x14ac:dyDescent="0.2">
      <c r="J994" s="34"/>
      <c r="K994" s="34" t="str">
        <f t="shared" si="111"/>
        <v/>
      </c>
      <c r="L994" s="34" t="str">
        <f t="shared" si="109"/>
        <v/>
      </c>
      <c r="M994" s="34" t="str">
        <f t="shared" si="112"/>
        <v/>
      </c>
      <c r="N994" s="34" t="str">
        <f t="shared" si="113"/>
        <v/>
      </c>
      <c r="O994" s="34" t="str">
        <f t="shared" si="110"/>
        <v/>
      </c>
      <c r="P994" s="34" t="str">
        <f>IF(A994="","",IFERROR(VLOOKUP(A994,'表3（采购界面）'!A:J,10,0),"NA"))</f>
        <v/>
      </c>
      <c r="Q994" s="34" t="str">
        <f>IF(A994="","",IFERROR(VLOOKUP(A994,'表3（采购界面）'!A:Z,11,0),"NA"))</f>
        <v/>
      </c>
      <c r="R994" s="34" t="str">
        <f t="shared" si="114"/>
        <v/>
      </c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</row>
    <row r="995" spans="10:33" x14ac:dyDescent="0.2">
      <c r="J995" s="34"/>
      <c r="K995" s="34" t="str">
        <f t="shared" si="111"/>
        <v/>
      </c>
      <c r="L995" s="34" t="str">
        <f t="shared" si="109"/>
        <v/>
      </c>
      <c r="M995" s="34" t="str">
        <f t="shared" si="112"/>
        <v/>
      </c>
      <c r="N995" s="34" t="str">
        <f t="shared" si="113"/>
        <v/>
      </c>
      <c r="O995" s="34" t="str">
        <f t="shared" si="110"/>
        <v/>
      </c>
      <c r="P995" s="34" t="str">
        <f>IF(A995="","",IFERROR(VLOOKUP(A995,'表3（采购界面）'!A:J,10,0),"NA"))</f>
        <v/>
      </c>
      <c r="Q995" s="34" t="str">
        <f>IF(A995="","",IFERROR(VLOOKUP(A995,'表3（采购界面）'!A:Z,11,0),"NA"))</f>
        <v/>
      </c>
      <c r="R995" s="34" t="str">
        <f t="shared" si="114"/>
        <v/>
      </c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</row>
    <row r="996" spans="10:33" x14ac:dyDescent="0.2">
      <c r="J996" s="34"/>
      <c r="K996" s="34" t="str">
        <f t="shared" si="111"/>
        <v/>
      </c>
      <c r="L996" s="34" t="str">
        <f t="shared" si="109"/>
        <v/>
      </c>
      <c r="M996" s="34" t="str">
        <f t="shared" si="112"/>
        <v/>
      </c>
      <c r="N996" s="34" t="str">
        <f t="shared" si="113"/>
        <v/>
      </c>
      <c r="O996" s="34" t="str">
        <f t="shared" si="110"/>
        <v/>
      </c>
      <c r="P996" s="34" t="str">
        <f>IF(A996="","",IFERROR(VLOOKUP(A996,'表3（采购界面）'!A:J,10,0),"NA"))</f>
        <v/>
      </c>
      <c r="Q996" s="34" t="str">
        <f>IF(A996="","",IFERROR(VLOOKUP(A996,'表3（采购界面）'!A:Z,11,0),"NA"))</f>
        <v/>
      </c>
      <c r="R996" s="34" t="str">
        <f t="shared" si="114"/>
        <v/>
      </c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</row>
    <row r="997" spans="10:33" x14ac:dyDescent="0.2">
      <c r="J997" s="34"/>
      <c r="K997" s="34" t="str">
        <f t="shared" si="111"/>
        <v/>
      </c>
      <c r="L997" s="34" t="str">
        <f t="shared" si="109"/>
        <v/>
      </c>
      <c r="M997" s="34" t="str">
        <f t="shared" si="112"/>
        <v/>
      </c>
      <c r="N997" s="34" t="str">
        <f t="shared" si="113"/>
        <v/>
      </c>
      <c r="O997" s="34" t="str">
        <f t="shared" si="110"/>
        <v/>
      </c>
      <c r="P997" s="34" t="str">
        <f>IF(A997="","",IFERROR(VLOOKUP(A997,'表3（采购界面）'!A:J,10,0),"NA"))</f>
        <v/>
      </c>
      <c r="Q997" s="34" t="str">
        <f>IF(A997="","",IFERROR(VLOOKUP(A997,'表3（采购界面）'!A:Z,11,0),"NA"))</f>
        <v/>
      </c>
      <c r="R997" s="34" t="str">
        <f t="shared" si="114"/>
        <v/>
      </c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</row>
    <row r="998" spans="10:33" x14ac:dyDescent="0.2">
      <c r="J998" s="34"/>
      <c r="K998" s="34" t="str">
        <f t="shared" si="111"/>
        <v/>
      </c>
      <c r="L998" s="34" t="str">
        <f t="shared" si="109"/>
        <v/>
      </c>
      <c r="M998" s="34" t="str">
        <f t="shared" si="112"/>
        <v/>
      </c>
      <c r="N998" s="34" t="str">
        <f t="shared" si="113"/>
        <v/>
      </c>
      <c r="O998" s="34" t="str">
        <f t="shared" si="110"/>
        <v/>
      </c>
      <c r="P998" s="34" t="str">
        <f>IF(A998="","",IFERROR(VLOOKUP(A998,'表3（采购界面）'!A:J,10,0),"NA"))</f>
        <v/>
      </c>
      <c r="Q998" s="34" t="str">
        <f>IF(A998="","",IFERROR(VLOOKUP(A998,'表3（采购界面）'!A:Z,11,0),"NA"))</f>
        <v/>
      </c>
      <c r="R998" s="34" t="str">
        <f t="shared" si="114"/>
        <v/>
      </c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</row>
    <row r="999" spans="10:33" x14ac:dyDescent="0.2">
      <c r="J999" s="34"/>
      <c r="K999" s="34" t="str">
        <f t="shared" si="111"/>
        <v/>
      </c>
      <c r="L999" s="34" t="str">
        <f t="shared" si="109"/>
        <v/>
      </c>
      <c r="M999" s="34" t="str">
        <f t="shared" si="112"/>
        <v/>
      </c>
      <c r="N999" s="34" t="str">
        <f t="shared" si="113"/>
        <v/>
      </c>
      <c r="O999" s="34" t="str">
        <f t="shared" si="110"/>
        <v/>
      </c>
      <c r="P999" s="34" t="str">
        <f>IF(A999="","",IFERROR(VLOOKUP(A999,'表3（采购界面）'!A:J,10,0),"NA"))</f>
        <v/>
      </c>
      <c r="Q999" s="34" t="str">
        <f>IF(A999="","",IFERROR(VLOOKUP(A999,'表3（采购界面）'!A:Z,11,0),"NA"))</f>
        <v/>
      </c>
      <c r="R999" s="34" t="str">
        <f t="shared" si="114"/>
        <v/>
      </c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</row>
  </sheetData>
  <autoFilter ref="A2:AG2" xr:uid="{DA128DB9-09C6-41D7-879C-1A5CAF52F33E}"/>
  <sortState xmlns:xlrd2="http://schemas.microsoft.com/office/spreadsheetml/2017/richdata2" ref="A3:AG23">
    <sortCondition ref="A3:A23"/>
  </sortState>
  <mergeCells count="24">
    <mergeCell ref="W1:W2"/>
    <mergeCell ref="X1:X2"/>
    <mergeCell ref="Y1:Y2"/>
    <mergeCell ref="O1:O2"/>
    <mergeCell ref="P1:P2"/>
    <mergeCell ref="Q1:Q2"/>
    <mergeCell ref="S1:S2"/>
    <mergeCell ref="T1:T2"/>
    <mergeCell ref="U1:U2"/>
    <mergeCell ref="R1:R2"/>
    <mergeCell ref="V1:V2"/>
    <mergeCell ref="AF1:AF2"/>
    <mergeCell ref="AG1:AG2"/>
    <mergeCell ref="Z1:Z2"/>
    <mergeCell ref="AA1:AA2"/>
    <mergeCell ref="AB1:AB2"/>
    <mergeCell ref="AC1:AC2"/>
    <mergeCell ref="AD1:AD2"/>
    <mergeCell ref="AE1:AE2"/>
    <mergeCell ref="K1:K2"/>
    <mergeCell ref="L1:L2"/>
    <mergeCell ref="M1:M2"/>
    <mergeCell ref="N1:N2"/>
    <mergeCell ref="J1:J2"/>
  </mergeCells>
  <phoneticPr fontId="2" type="noConversion"/>
  <conditionalFormatting sqref="A1">
    <cfRule type="duplicateValues" dxfId="1" priority="2"/>
  </conditionalFormatting>
  <conditionalFormatting sqref="J3:AG999">
    <cfRule type="containsBlanks" dxfId="0" priority="4">
      <formula>LEN(TRIM(J3))=0</formula>
    </cfRule>
  </conditionalFormatting>
  <conditionalFormatting sqref="J6:AG999">
    <cfRule type="expression" priority="1" stopIfTrue="1">
      <formula>$A6=""</formula>
    </cfRule>
  </conditionalFormatting>
  <dataValidations count="1">
    <dataValidation allowBlank="1" showInputMessage="1" showErrorMessage="1" prompt="Y01 研发物料 Z01 美国成品、半成品_x000a_Z02 美国原辅料 Z03 美国包材_x000a_Z04 中国成品、半成品 Z05 中国原辅料_x000a_Z06 中国包材 Z07 欧洲成品、半成品_x000a_Z08 欧洲原辅料 Z09 欧洲包材_x000a_Z10 大客户成品、半成品 Z11 大客户原辅料_x000a_Z12 大客户包材" sqref="J1:J1048576" xr:uid="{204FAD7F-2F48-48D7-8685-34A4489A273E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BFFBD-72E5-4352-A75B-75283CD1F845}">
  <dimension ref="A1:O24"/>
  <sheetViews>
    <sheetView workbookViewId="0">
      <selection activeCell="E27" sqref="E27"/>
    </sheetView>
  </sheetViews>
  <sheetFormatPr defaultRowHeight="12.75" x14ac:dyDescent="0.2"/>
  <cols>
    <col min="2" max="2" width="11" style="76" bestFit="1" customWidth="1"/>
    <col min="5" max="5" width="26.85546875" customWidth="1"/>
    <col min="7" max="7" width="2.7109375" bestFit="1" customWidth="1"/>
    <col min="8" max="8" width="14.7109375" customWidth="1"/>
    <col min="9" max="9" width="11" bestFit="1" customWidth="1"/>
    <col min="10" max="10" width="8.28515625" bestFit="1" customWidth="1"/>
    <col min="11" max="11" width="10.7109375" bestFit="1" customWidth="1"/>
    <col min="12" max="12" width="3.5703125" bestFit="1" customWidth="1"/>
    <col min="13" max="13" width="11.85546875" bestFit="1" customWidth="1"/>
    <col min="14" max="14" width="3.7109375" bestFit="1" customWidth="1"/>
  </cols>
  <sheetData>
    <row r="1" spans="1:11" x14ac:dyDescent="0.2">
      <c r="A1" s="75">
        <v>44152</v>
      </c>
      <c r="B1" s="76">
        <f>A1/$D$1*$E$1</f>
        <v>250845.87620873621</v>
      </c>
      <c r="D1" s="75">
        <f>SUM(A1:A12)</f>
        <v>533458</v>
      </c>
      <c r="E1">
        <v>3030796.78</v>
      </c>
    </row>
    <row r="2" spans="1:11" x14ac:dyDescent="0.2">
      <c r="A2" s="75">
        <v>44737</v>
      </c>
      <c r="B2" s="76">
        <f t="shared" ref="B2:B12" si="0">A2/$D$1*$E$1</f>
        <v>254169.5045286789</v>
      </c>
      <c r="H2" s="75">
        <v>9940</v>
      </c>
      <c r="I2" s="77">
        <f>H2/$J$2*$K$2</f>
        <v>62927.556770395291</v>
      </c>
      <c r="J2" s="75">
        <f>SUM(H2:H4)</f>
        <v>107010</v>
      </c>
      <c r="K2">
        <v>677452.5</v>
      </c>
    </row>
    <row r="3" spans="1:11" x14ac:dyDescent="0.2">
      <c r="A3" s="75">
        <v>44047</v>
      </c>
      <c r="B3" s="76">
        <f t="shared" si="0"/>
        <v>250249.32753592596</v>
      </c>
      <c r="H3" s="75">
        <v>45030</v>
      </c>
      <c r="I3" s="77">
        <f t="shared" ref="I3:I4" si="1">H3/$J$2*$K$2</f>
        <v>285073.22750210261</v>
      </c>
    </row>
    <row r="4" spans="1:11" x14ac:dyDescent="0.2">
      <c r="A4" s="75">
        <v>44407</v>
      </c>
      <c r="B4" s="76">
        <f t="shared" si="0"/>
        <v>252294.63727127534</v>
      </c>
      <c r="H4" s="75">
        <v>52040</v>
      </c>
      <c r="I4" s="77">
        <f t="shared" si="1"/>
        <v>329451.71572750213</v>
      </c>
    </row>
    <row r="5" spans="1:11" x14ac:dyDescent="0.2">
      <c r="A5" s="75">
        <v>44985</v>
      </c>
      <c r="B5" s="76">
        <f t="shared" si="0"/>
        <v>255578.49567969737</v>
      </c>
    </row>
    <row r="6" spans="1:11" x14ac:dyDescent="0.2">
      <c r="A6" s="75">
        <v>44730</v>
      </c>
      <c r="B6" s="76">
        <f t="shared" si="0"/>
        <v>254129.73461715822</v>
      </c>
    </row>
    <row r="7" spans="1:11" x14ac:dyDescent="0.2">
      <c r="A7" s="75">
        <v>44355</v>
      </c>
      <c r="B7" s="76">
        <f t="shared" si="0"/>
        <v>251999.20364283599</v>
      </c>
    </row>
    <row r="8" spans="1:11" x14ac:dyDescent="0.2">
      <c r="A8" s="75">
        <v>43545</v>
      </c>
      <c r="B8" s="76">
        <f t="shared" si="0"/>
        <v>247397.25673829988</v>
      </c>
    </row>
    <row r="9" spans="1:11" x14ac:dyDescent="0.2">
      <c r="A9" s="75">
        <v>44520</v>
      </c>
      <c r="B9" s="76">
        <f t="shared" si="0"/>
        <v>252936.63727153777</v>
      </c>
      <c r="H9" s="75">
        <v>9940</v>
      </c>
      <c r="I9" s="77">
        <f>H9/$J$9*$K$9</f>
        <v>97552.74</v>
      </c>
      <c r="J9" s="75">
        <f>SUM(H9:H11)</f>
        <v>9940</v>
      </c>
      <c r="K9">
        <v>97552.74</v>
      </c>
    </row>
    <row r="10" spans="1:11" x14ac:dyDescent="0.2">
      <c r="A10" s="75">
        <v>44730</v>
      </c>
      <c r="B10" s="76">
        <f t="shared" si="0"/>
        <v>254129.73461715822</v>
      </c>
      <c r="H10" s="75"/>
      <c r="I10" s="77"/>
    </row>
    <row r="11" spans="1:11" x14ac:dyDescent="0.2">
      <c r="A11" s="75">
        <v>44745</v>
      </c>
      <c r="B11" s="76">
        <f t="shared" si="0"/>
        <v>254214.9558561311</v>
      </c>
    </row>
    <row r="12" spans="1:11" x14ac:dyDescent="0.2">
      <c r="A12" s="75">
        <v>44505</v>
      </c>
      <c r="B12" s="76">
        <f t="shared" si="0"/>
        <v>252851.41603256486</v>
      </c>
    </row>
    <row r="13" spans="1:11" x14ac:dyDescent="0.2">
      <c r="H13" s="75">
        <v>48900</v>
      </c>
      <c r="I13" s="77">
        <f>H13/$J$13*$K$13</f>
        <v>134150.44360168354</v>
      </c>
      <c r="J13" s="75">
        <f>SUM(H13:H15)</f>
        <v>111670</v>
      </c>
      <c r="K13" s="21">
        <v>306351.33</v>
      </c>
    </row>
    <row r="14" spans="1:11" x14ac:dyDescent="0.2">
      <c r="H14" s="75">
        <v>48600</v>
      </c>
      <c r="I14" s="77">
        <f t="shared" ref="I14:I15" si="2">H14/$J$13*$K$13</f>
        <v>133327.4347452315</v>
      </c>
    </row>
    <row r="15" spans="1:11" x14ac:dyDescent="0.2">
      <c r="H15" s="75">
        <v>14170</v>
      </c>
      <c r="I15" s="77">
        <f t="shared" si="2"/>
        <v>38873.451653084987</v>
      </c>
    </row>
    <row r="21" spans="7:15" x14ac:dyDescent="0.2">
      <c r="G21">
        <v>1</v>
      </c>
      <c r="H21" s="80">
        <v>97552.74</v>
      </c>
      <c r="I21" s="75">
        <v>9940</v>
      </c>
      <c r="J21">
        <v>9.81</v>
      </c>
      <c r="K21">
        <v>11.09</v>
      </c>
      <c r="L21" s="79" t="s">
        <v>177</v>
      </c>
      <c r="M21">
        <v>4500041720</v>
      </c>
      <c r="N21">
        <v>30</v>
      </c>
      <c r="O21" s="79" t="s">
        <v>178</v>
      </c>
    </row>
    <row r="22" spans="7:15" x14ac:dyDescent="0.2">
      <c r="G22">
        <v>2</v>
      </c>
      <c r="H22" s="80">
        <v>134150.44360168354</v>
      </c>
      <c r="I22" s="75">
        <v>48900</v>
      </c>
      <c r="J22">
        <v>2.74</v>
      </c>
      <c r="K22">
        <v>3.1</v>
      </c>
      <c r="L22" s="79" t="s">
        <v>177</v>
      </c>
      <c r="M22">
        <v>4500040605</v>
      </c>
      <c r="N22">
        <v>10</v>
      </c>
      <c r="O22" s="79" t="s">
        <v>179</v>
      </c>
    </row>
    <row r="23" spans="7:15" x14ac:dyDescent="0.2">
      <c r="G23">
        <v>3</v>
      </c>
      <c r="H23" s="80">
        <v>133327.4347452315</v>
      </c>
      <c r="I23" s="75">
        <v>48600</v>
      </c>
      <c r="J23">
        <v>2.74</v>
      </c>
      <c r="K23">
        <v>3.1</v>
      </c>
      <c r="L23" s="79" t="s">
        <v>177</v>
      </c>
      <c r="M23">
        <v>4500040605</v>
      </c>
      <c r="N23">
        <v>10</v>
      </c>
      <c r="O23" s="79" t="s">
        <v>179</v>
      </c>
    </row>
    <row r="24" spans="7:15" x14ac:dyDescent="0.2">
      <c r="G24">
        <v>4</v>
      </c>
      <c r="H24" s="80">
        <v>38873.451653084987</v>
      </c>
      <c r="I24" s="75">
        <v>14170</v>
      </c>
      <c r="J24">
        <v>2.74</v>
      </c>
      <c r="K24">
        <v>3.1</v>
      </c>
      <c r="L24" s="79" t="s">
        <v>177</v>
      </c>
      <c r="M24">
        <v>4500040605</v>
      </c>
      <c r="N24">
        <v>10</v>
      </c>
      <c r="O24" s="79" t="s">
        <v>179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88A8-6221-471C-844E-4F7127A1DA60}">
  <dimension ref="A1:N6"/>
  <sheetViews>
    <sheetView workbookViewId="0">
      <selection activeCell="K2" sqref="K2:L6"/>
    </sheetView>
  </sheetViews>
  <sheetFormatPr defaultRowHeight="12.75" x14ac:dyDescent="0.2"/>
  <cols>
    <col min="1" max="1" width="7.7109375" style="69" bestFit="1" customWidth="1"/>
    <col min="2" max="2" width="34.7109375" style="69" bestFit="1" customWidth="1"/>
    <col min="3" max="3" width="11.85546875" style="69" bestFit="1" customWidth="1"/>
    <col min="4" max="4" width="9.140625" style="69"/>
    <col min="5" max="6" width="11.85546875" style="69" hidden="1" customWidth="1"/>
    <col min="7" max="8" width="9.85546875" style="69" hidden="1" customWidth="1"/>
    <col min="9" max="9" width="11.85546875" style="69" bestFit="1" customWidth="1"/>
    <col min="10" max="10" width="9.140625" style="69"/>
    <col min="11" max="11" width="11.85546875" style="69" bestFit="1" customWidth="1"/>
    <col min="12" max="16384" width="9.140625" style="69"/>
  </cols>
  <sheetData>
    <row r="1" spans="1:14" x14ac:dyDescent="0.2">
      <c r="A1" s="59" t="s">
        <v>4</v>
      </c>
      <c r="B1" s="59" t="s">
        <v>6</v>
      </c>
      <c r="C1" s="68" t="s">
        <v>157</v>
      </c>
      <c r="D1" s="59" t="s">
        <v>158</v>
      </c>
      <c r="E1" s="59" t="s">
        <v>159</v>
      </c>
      <c r="F1" s="59" t="s">
        <v>160</v>
      </c>
      <c r="G1" s="59" t="s">
        <v>161</v>
      </c>
      <c r="H1" s="59" t="s">
        <v>162</v>
      </c>
    </row>
    <row r="2" spans="1:14" x14ac:dyDescent="0.2">
      <c r="A2" s="60">
        <v>500104</v>
      </c>
      <c r="B2" s="60" t="s">
        <v>163</v>
      </c>
      <c r="C2" s="70" t="s">
        <v>167</v>
      </c>
      <c r="D2" s="62">
        <v>43053</v>
      </c>
      <c r="E2" s="61">
        <v>2200001199</v>
      </c>
      <c r="F2" s="61">
        <v>4500006264</v>
      </c>
      <c r="G2" s="63">
        <v>44793</v>
      </c>
      <c r="H2" s="63">
        <v>45524</v>
      </c>
      <c r="I2" s="74">
        <v>2200001199</v>
      </c>
      <c r="J2" s="72">
        <v>20</v>
      </c>
      <c r="K2" s="73">
        <v>2200001570</v>
      </c>
      <c r="L2" s="72" t="s">
        <v>176</v>
      </c>
    </row>
    <row r="3" spans="1:14" x14ac:dyDescent="0.2">
      <c r="A3" s="60">
        <v>500104</v>
      </c>
      <c r="B3" s="60" t="s">
        <v>163</v>
      </c>
      <c r="C3" s="70" t="s">
        <v>167</v>
      </c>
      <c r="D3" s="62">
        <v>42240</v>
      </c>
      <c r="E3" s="61"/>
      <c r="F3" s="61"/>
      <c r="G3" s="63"/>
      <c r="H3" s="63"/>
      <c r="I3" s="74">
        <v>2200001199</v>
      </c>
      <c r="J3" s="72">
        <v>20</v>
      </c>
      <c r="K3" s="74" t="s">
        <v>171</v>
      </c>
      <c r="L3" s="72" t="s">
        <v>172</v>
      </c>
      <c r="N3" s="72"/>
    </row>
    <row r="4" spans="1:14" x14ac:dyDescent="0.2">
      <c r="A4" s="64">
        <v>500103</v>
      </c>
      <c r="B4" s="64" t="s">
        <v>164</v>
      </c>
      <c r="C4" s="71" t="s">
        <v>168</v>
      </c>
      <c r="D4" s="66">
        <v>25558</v>
      </c>
      <c r="E4" s="65">
        <v>2200001199</v>
      </c>
      <c r="F4" s="65">
        <v>4500006264</v>
      </c>
      <c r="G4" s="67">
        <v>44795</v>
      </c>
      <c r="H4" s="67">
        <v>45891</v>
      </c>
      <c r="I4" s="74">
        <v>2200001199</v>
      </c>
      <c r="J4" s="72">
        <v>30</v>
      </c>
      <c r="K4" s="74" t="s">
        <v>171</v>
      </c>
      <c r="L4" s="72" t="s">
        <v>173</v>
      </c>
    </row>
    <row r="5" spans="1:14" x14ac:dyDescent="0.2">
      <c r="A5" s="64">
        <v>500107</v>
      </c>
      <c r="B5" s="64" t="s">
        <v>165</v>
      </c>
      <c r="C5" s="71" t="s">
        <v>169</v>
      </c>
      <c r="D5" s="66">
        <v>85100</v>
      </c>
      <c r="E5" s="65">
        <v>2200001199</v>
      </c>
      <c r="F5" s="65">
        <v>4500006264</v>
      </c>
      <c r="G5" s="67">
        <v>44795</v>
      </c>
      <c r="H5" s="67">
        <v>45526</v>
      </c>
      <c r="I5" s="74">
        <v>2200001199</v>
      </c>
      <c r="J5" s="72">
        <v>40</v>
      </c>
      <c r="K5" s="74" t="s">
        <v>171</v>
      </c>
      <c r="L5" s="72" t="s">
        <v>174</v>
      </c>
    </row>
    <row r="6" spans="1:14" x14ac:dyDescent="0.2">
      <c r="A6" s="64">
        <v>500106</v>
      </c>
      <c r="B6" s="64" t="s">
        <v>166</v>
      </c>
      <c r="C6" s="71" t="s">
        <v>170</v>
      </c>
      <c r="D6" s="66">
        <v>25440</v>
      </c>
      <c r="E6" s="65">
        <v>2200001199</v>
      </c>
      <c r="F6" s="65">
        <v>4500006264</v>
      </c>
      <c r="G6" s="67">
        <v>44796</v>
      </c>
      <c r="H6" s="67">
        <v>45506</v>
      </c>
      <c r="I6" s="74">
        <v>2200001199</v>
      </c>
      <c r="J6" s="72">
        <v>50</v>
      </c>
      <c r="K6" s="74" t="s">
        <v>171</v>
      </c>
      <c r="L6" s="72" t="s">
        <v>175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30DC3-233C-4E98-9755-111D7B6C500F}">
  <dimension ref="A3:B5"/>
  <sheetViews>
    <sheetView workbookViewId="0">
      <selection activeCell="A3" sqref="A3:B5"/>
    </sheetView>
  </sheetViews>
  <sheetFormatPr defaultRowHeight="12.75" x14ac:dyDescent="0.2"/>
  <sheetData>
    <row r="3" spans="1:2" x14ac:dyDescent="0.2">
      <c r="A3" s="21" t="s">
        <v>114</v>
      </c>
      <c r="B3">
        <v>100343</v>
      </c>
    </row>
    <row r="4" spans="1:2" ht="16.5" x14ac:dyDescent="0.2">
      <c r="A4" s="38" t="s">
        <v>115</v>
      </c>
      <c r="B4">
        <v>11965</v>
      </c>
    </row>
    <row r="5" spans="1:2" ht="16.5" x14ac:dyDescent="0.2">
      <c r="A5" s="38" t="s">
        <v>116</v>
      </c>
      <c r="B5">
        <v>20212</v>
      </c>
    </row>
  </sheetData>
  <phoneticPr fontId="2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65D9-7AEB-44E3-94C3-A59C814DB665}">
  <dimension ref="A1:P12"/>
  <sheetViews>
    <sheetView zoomScale="70" zoomScaleNormal="70" workbookViewId="0">
      <selection activeCell="H19" sqref="H19"/>
    </sheetView>
  </sheetViews>
  <sheetFormatPr defaultColWidth="82.85546875" defaultRowHeight="12.75" x14ac:dyDescent="0.2"/>
  <cols>
    <col min="1" max="1" width="17.85546875" bestFit="1" customWidth="1"/>
    <col min="2" max="2" width="19.28515625" customWidth="1"/>
    <col min="3" max="3" width="15.85546875" customWidth="1"/>
    <col min="4" max="4" width="17" customWidth="1"/>
    <col min="5" max="6" width="14.5703125" customWidth="1"/>
    <col min="7" max="7" width="28.28515625" hidden="1" customWidth="1"/>
    <col min="8" max="8" width="28.28515625" customWidth="1"/>
    <col min="9" max="9" width="12.85546875" bestFit="1" customWidth="1"/>
    <col min="10" max="10" width="10.5703125" bestFit="1" customWidth="1"/>
    <col min="11" max="11" width="24.42578125" bestFit="1" customWidth="1"/>
    <col min="12" max="12" width="24.42578125" hidden="1" customWidth="1"/>
    <col min="13" max="13" width="24.42578125" bestFit="1" customWidth="1"/>
    <col min="14" max="14" width="24.42578125" hidden="1" customWidth="1"/>
    <col min="15" max="16" width="12" hidden="1" customWidth="1"/>
  </cols>
  <sheetData>
    <row r="1" spans="1:16" ht="49.5" x14ac:dyDescent="0.2">
      <c r="A1" s="94" t="s">
        <v>117</v>
      </c>
      <c r="B1" s="94" t="s">
        <v>118</v>
      </c>
      <c r="C1" s="94" t="s">
        <v>119</v>
      </c>
      <c r="D1" s="39" t="s">
        <v>120</v>
      </c>
      <c r="E1" s="39" t="s">
        <v>123</v>
      </c>
      <c r="F1" s="42" t="s">
        <v>125</v>
      </c>
      <c r="G1" s="39" t="s">
        <v>126</v>
      </c>
      <c r="H1" s="39" t="s">
        <v>156</v>
      </c>
      <c r="I1" s="39" t="s">
        <v>128</v>
      </c>
      <c r="J1" s="39" t="s">
        <v>129</v>
      </c>
      <c r="K1" s="39" t="s">
        <v>153</v>
      </c>
      <c r="L1" s="39" t="s">
        <v>130</v>
      </c>
      <c r="M1" s="42" t="s">
        <v>132</v>
      </c>
      <c r="N1" s="42" t="s">
        <v>132</v>
      </c>
      <c r="O1" s="92"/>
      <c r="P1" s="92"/>
    </row>
    <row r="2" spans="1:16" ht="24.75" x14ac:dyDescent="0.2">
      <c r="A2" s="95"/>
      <c r="B2" s="95"/>
      <c r="C2" s="95"/>
      <c r="D2" s="40" t="s">
        <v>121</v>
      </c>
      <c r="E2" s="40" t="s">
        <v>121</v>
      </c>
      <c r="F2" s="43" t="s">
        <v>121</v>
      </c>
      <c r="G2" s="40" t="s">
        <v>127</v>
      </c>
      <c r="H2" s="40" t="s">
        <v>127</v>
      </c>
      <c r="I2" s="40" t="s">
        <v>127</v>
      </c>
      <c r="J2" s="40" t="s">
        <v>127</v>
      </c>
      <c r="K2" s="40" t="s">
        <v>154</v>
      </c>
      <c r="L2" s="40" t="s">
        <v>155</v>
      </c>
      <c r="M2" s="43" t="s">
        <v>154</v>
      </c>
      <c r="N2" s="43" t="s">
        <v>155</v>
      </c>
      <c r="O2" s="92"/>
      <c r="P2" s="92"/>
    </row>
    <row r="3" spans="1:16" ht="25.5" thickBot="1" x14ac:dyDescent="0.25">
      <c r="A3" s="96"/>
      <c r="B3" s="96"/>
      <c r="C3" s="96"/>
      <c r="D3" s="41" t="s">
        <v>122</v>
      </c>
      <c r="E3" s="41" t="s">
        <v>124</v>
      </c>
      <c r="F3" s="44" t="s">
        <v>124</v>
      </c>
      <c r="G3" s="45"/>
      <c r="H3" s="45"/>
      <c r="I3" s="45"/>
      <c r="J3" s="45"/>
      <c r="K3" s="40" t="s">
        <v>131</v>
      </c>
      <c r="L3" s="40" t="s">
        <v>131</v>
      </c>
      <c r="M3" s="43" t="s">
        <v>133</v>
      </c>
      <c r="N3" s="43" t="s">
        <v>133</v>
      </c>
      <c r="O3" s="93"/>
      <c r="P3" s="93"/>
    </row>
    <row r="4" spans="1:16" ht="24" thickTop="1" thickBot="1" x14ac:dyDescent="0.25">
      <c r="A4" s="46" t="s">
        <v>134</v>
      </c>
      <c r="B4" s="46" t="s">
        <v>135</v>
      </c>
      <c r="C4" s="46" t="s">
        <v>136</v>
      </c>
      <c r="D4" s="46">
        <v>31.85</v>
      </c>
      <c r="E4" s="46">
        <v>31.85</v>
      </c>
      <c r="F4" s="47">
        <v>36.299999999999997</v>
      </c>
      <c r="G4" s="46">
        <v>140569</v>
      </c>
      <c r="H4" s="46">
        <v>52763</v>
      </c>
      <c r="I4" s="46">
        <v>28000</v>
      </c>
      <c r="J4" s="46">
        <v>19886</v>
      </c>
      <c r="K4" s="46">
        <f>H4-I4-J4</f>
        <v>4877</v>
      </c>
      <c r="L4" s="46">
        <f>G4-I4-J4-K4</f>
        <v>87806</v>
      </c>
      <c r="M4" s="57">
        <f>K4*($F4-$E4)/10000</f>
        <v>2.1702649999999979</v>
      </c>
      <c r="N4" s="53">
        <f>L4*($F4-$E4)/10000</f>
        <v>39.073669999999957</v>
      </c>
      <c r="O4" s="48">
        <v>42.6</v>
      </c>
      <c r="P4" s="53">
        <f>M4+N4</f>
        <v>41.243934999999958</v>
      </c>
    </row>
    <row r="5" spans="1:16" ht="24" thickTop="1" thickBot="1" x14ac:dyDescent="0.25">
      <c r="A5" s="49" t="s">
        <v>137</v>
      </c>
      <c r="B5" s="49" t="s">
        <v>138</v>
      </c>
      <c r="C5" s="49" t="s">
        <v>139</v>
      </c>
      <c r="D5" s="49">
        <v>55</v>
      </c>
      <c r="E5" s="49">
        <v>55</v>
      </c>
      <c r="F5" s="50">
        <v>60</v>
      </c>
      <c r="G5" s="49">
        <v>114572</v>
      </c>
      <c r="H5" s="49">
        <v>58093</v>
      </c>
      <c r="I5" s="49">
        <v>17208</v>
      </c>
      <c r="J5" s="49">
        <v>29468</v>
      </c>
      <c r="K5" s="46">
        <f t="shared" ref="K5:K11" si="0">H5-I5-J5</f>
        <v>11417</v>
      </c>
      <c r="L5" s="46">
        <f t="shared" ref="L5:L11" si="1">G5-I5-J5-K5</f>
        <v>56479</v>
      </c>
      <c r="M5" s="57">
        <f t="shared" ref="M5:M11" si="2">K5*(F5-E5)/10000</f>
        <v>5.7084999999999999</v>
      </c>
      <c r="N5" s="53">
        <f t="shared" ref="N5:N11" si="3">L5*($F5-$E5)/10000</f>
        <v>28.2395</v>
      </c>
      <c r="O5" s="55">
        <v>33.9</v>
      </c>
      <c r="P5" s="56">
        <f t="shared" ref="P5:P11" si="4">M5+N5</f>
        <v>33.948</v>
      </c>
    </row>
    <row r="6" spans="1:16" ht="24" thickTop="1" thickBot="1" x14ac:dyDescent="0.25">
      <c r="A6" s="49" t="s">
        <v>140</v>
      </c>
      <c r="B6" s="49" t="s">
        <v>141</v>
      </c>
      <c r="C6" s="49" t="s">
        <v>142</v>
      </c>
      <c r="D6" s="49">
        <v>39.9</v>
      </c>
      <c r="E6" s="49">
        <v>41.9</v>
      </c>
      <c r="F6" s="50">
        <v>42.9</v>
      </c>
      <c r="G6" s="49">
        <v>309405</v>
      </c>
      <c r="H6" s="49">
        <v>125889</v>
      </c>
      <c r="I6" s="49">
        <v>48314</v>
      </c>
      <c r="J6" s="49">
        <v>85412</v>
      </c>
      <c r="K6" s="46">
        <v>0</v>
      </c>
      <c r="L6" s="46">
        <f t="shared" si="1"/>
        <v>175679</v>
      </c>
      <c r="M6" s="57">
        <f t="shared" si="2"/>
        <v>0</v>
      </c>
      <c r="N6" s="53">
        <f t="shared" si="3"/>
        <v>17.567900000000002</v>
      </c>
      <c r="O6" s="55">
        <v>17.600000000000001</v>
      </c>
      <c r="P6" s="56">
        <f t="shared" si="4"/>
        <v>17.567900000000002</v>
      </c>
    </row>
    <row r="7" spans="1:16" ht="24" thickTop="1" thickBot="1" x14ac:dyDescent="0.25">
      <c r="A7" s="49" t="s">
        <v>143</v>
      </c>
      <c r="B7" s="49" t="s">
        <v>144</v>
      </c>
      <c r="C7" s="49" t="s">
        <v>145</v>
      </c>
      <c r="D7" s="49">
        <v>200</v>
      </c>
      <c r="E7" s="49">
        <v>173</v>
      </c>
      <c r="F7" s="50">
        <v>230</v>
      </c>
      <c r="G7" s="49">
        <v>6715</v>
      </c>
      <c r="H7" s="49">
        <v>2935</v>
      </c>
      <c r="I7" s="49">
        <v>458</v>
      </c>
      <c r="J7" s="49">
        <v>4502</v>
      </c>
      <c r="K7" s="46">
        <v>0</v>
      </c>
      <c r="L7" s="46">
        <f t="shared" si="1"/>
        <v>1755</v>
      </c>
      <c r="M7" s="57">
        <f t="shared" si="2"/>
        <v>0</v>
      </c>
      <c r="N7" s="53">
        <f t="shared" si="3"/>
        <v>10.003500000000001</v>
      </c>
      <c r="O7" s="55">
        <v>10</v>
      </c>
      <c r="P7" s="56">
        <f t="shared" si="4"/>
        <v>10.003500000000001</v>
      </c>
    </row>
    <row r="8" spans="1:16" ht="24" thickTop="1" thickBot="1" x14ac:dyDescent="0.25">
      <c r="A8" s="49" t="s">
        <v>137</v>
      </c>
      <c r="B8" s="49" t="s">
        <v>146</v>
      </c>
      <c r="C8" s="49" t="s">
        <v>139</v>
      </c>
      <c r="D8" s="49">
        <v>120</v>
      </c>
      <c r="E8" s="49">
        <v>120</v>
      </c>
      <c r="F8" s="50">
        <v>128</v>
      </c>
      <c r="G8" s="49">
        <v>17425</v>
      </c>
      <c r="H8" s="49">
        <v>8690</v>
      </c>
      <c r="I8" s="49">
        <v>1277</v>
      </c>
      <c r="J8" s="49">
        <v>3749</v>
      </c>
      <c r="K8" s="46">
        <f t="shared" si="0"/>
        <v>3664</v>
      </c>
      <c r="L8" s="46">
        <f t="shared" si="1"/>
        <v>8735</v>
      </c>
      <c r="M8" s="57">
        <f t="shared" si="2"/>
        <v>2.9312</v>
      </c>
      <c r="N8" s="53">
        <f t="shared" si="3"/>
        <v>6.9880000000000004</v>
      </c>
      <c r="O8" s="55">
        <v>9.9</v>
      </c>
      <c r="P8" s="56">
        <f t="shared" si="4"/>
        <v>9.9192</v>
      </c>
    </row>
    <row r="9" spans="1:16" ht="24" thickTop="1" thickBot="1" x14ac:dyDescent="0.25">
      <c r="A9" s="49" t="s">
        <v>147</v>
      </c>
      <c r="B9" s="49" t="s">
        <v>148</v>
      </c>
      <c r="C9" s="49" t="s">
        <v>145</v>
      </c>
      <c r="D9" s="49">
        <v>196</v>
      </c>
      <c r="E9" s="49">
        <v>179</v>
      </c>
      <c r="F9" s="50">
        <v>208</v>
      </c>
      <c r="G9" s="49">
        <v>4802</v>
      </c>
      <c r="H9" s="49">
        <v>2253</v>
      </c>
      <c r="I9" s="49">
        <v>98</v>
      </c>
      <c r="J9" s="49">
        <v>2127</v>
      </c>
      <c r="K9" s="46">
        <f t="shared" si="0"/>
        <v>28</v>
      </c>
      <c r="L9" s="46">
        <f t="shared" si="1"/>
        <v>2549</v>
      </c>
      <c r="M9" s="57">
        <f t="shared" si="2"/>
        <v>8.1199999999999994E-2</v>
      </c>
      <c r="N9" s="53">
        <f t="shared" si="3"/>
        <v>7.3921000000000001</v>
      </c>
      <c r="O9" s="55">
        <v>7.5</v>
      </c>
      <c r="P9" s="56">
        <f t="shared" si="4"/>
        <v>7.4733000000000001</v>
      </c>
    </row>
    <row r="10" spans="1:16" ht="24" thickTop="1" thickBot="1" x14ac:dyDescent="0.25">
      <c r="A10" s="49" t="s">
        <v>149</v>
      </c>
      <c r="B10" s="49" t="s">
        <v>150</v>
      </c>
      <c r="C10" s="49" t="s">
        <v>139</v>
      </c>
      <c r="D10" s="49">
        <v>13.5</v>
      </c>
      <c r="E10" s="49">
        <v>14</v>
      </c>
      <c r="F10" s="50">
        <v>16</v>
      </c>
      <c r="G10" s="49">
        <v>24126</v>
      </c>
      <c r="H10" s="49">
        <v>12379</v>
      </c>
      <c r="I10" s="49">
        <v>1050</v>
      </c>
      <c r="J10" s="49">
        <v>9012</v>
      </c>
      <c r="K10" s="46">
        <f t="shared" si="0"/>
        <v>2317</v>
      </c>
      <c r="L10" s="46">
        <f t="shared" si="1"/>
        <v>11747</v>
      </c>
      <c r="M10" s="57">
        <f t="shared" si="2"/>
        <v>0.46339999999999998</v>
      </c>
      <c r="N10" s="53">
        <f t="shared" si="3"/>
        <v>2.3494000000000002</v>
      </c>
      <c r="O10" s="55">
        <v>2.8</v>
      </c>
      <c r="P10" s="56">
        <f t="shared" si="4"/>
        <v>2.8128000000000002</v>
      </c>
    </row>
    <row r="11" spans="1:16" ht="24" thickTop="1" thickBot="1" x14ac:dyDescent="0.25">
      <c r="A11" s="49" t="s">
        <v>151</v>
      </c>
      <c r="B11" s="49" t="s">
        <v>150</v>
      </c>
      <c r="C11" s="49" t="s">
        <v>145</v>
      </c>
      <c r="D11" s="49">
        <v>1350</v>
      </c>
      <c r="E11" s="49">
        <v>1250</v>
      </c>
      <c r="F11" s="50">
        <v>1650</v>
      </c>
      <c r="G11" s="49">
        <v>50</v>
      </c>
      <c r="H11" s="49">
        <v>50</v>
      </c>
      <c r="I11" s="49">
        <v>24</v>
      </c>
      <c r="J11" s="49">
        <v>1.2</v>
      </c>
      <c r="K11" s="46">
        <f t="shared" si="0"/>
        <v>24.8</v>
      </c>
      <c r="L11" s="46">
        <f t="shared" si="1"/>
        <v>0</v>
      </c>
      <c r="M11" s="57">
        <f t="shared" si="2"/>
        <v>0.99199999999999999</v>
      </c>
      <c r="N11" s="53">
        <f t="shared" si="3"/>
        <v>0</v>
      </c>
      <c r="O11" s="51">
        <v>2</v>
      </c>
      <c r="P11" s="53">
        <f t="shared" si="4"/>
        <v>0.99199999999999999</v>
      </c>
    </row>
    <row r="12" spans="1:16" ht="25.5" thickBot="1" x14ac:dyDescent="0.25">
      <c r="A12" s="97" t="s">
        <v>152</v>
      </c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9"/>
      <c r="M12" s="58">
        <f>SUM(M4:M11)</f>
        <v>12.346564999999998</v>
      </c>
      <c r="N12" s="54">
        <f>SUM(N4:N11)</f>
        <v>111.61406999999997</v>
      </c>
      <c r="O12" s="52">
        <v>124</v>
      </c>
      <c r="P12" s="52"/>
    </row>
  </sheetData>
  <mergeCells count="6">
    <mergeCell ref="P1:P3"/>
    <mergeCell ref="A1:A3"/>
    <mergeCell ref="B1:B3"/>
    <mergeCell ref="C1:C3"/>
    <mergeCell ref="A12:L12"/>
    <mergeCell ref="O1:O3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528FB-20C8-449B-A450-EB6F6D58A075}">
  <dimension ref="C1:I21"/>
  <sheetViews>
    <sheetView topLeftCell="B1" zoomScaleNormal="100" workbookViewId="0">
      <selection activeCell="C1" sqref="C1:I10"/>
    </sheetView>
  </sheetViews>
  <sheetFormatPr defaultRowHeight="12.75" x14ac:dyDescent="0.2"/>
  <cols>
    <col min="3" max="4" width="13.140625" bestFit="1" customWidth="1"/>
    <col min="5" max="6" width="13.140625" customWidth="1"/>
    <col min="7" max="8" width="14.28515625" style="9" customWidth="1"/>
    <col min="9" max="9" width="29.5703125" bestFit="1" customWidth="1"/>
  </cols>
  <sheetData>
    <row r="1" spans="3:9" ht="16.5" x14ac:dyDescent="0.2">
      <c r="C1" s="85" t="s">
        <v>243</v>
      </c>
      <c r="D1" s="85" t="s">
        <v>117</v>
      </c>
      <c r="E1" s="86" t="s">
        <v>250</v>
      </c>
      <c r="F1" s="86" t="s">
        <v>245</v>
      </c>
      <c r="G1" s="86" t="s">
        <v>246</v>
      </c>
      <c r="H1" s="86" t="s">
        <v>245</v>
      </c>
      <c r="I1" s="38" t="s">
        <v>249</v>
      </c>
    </row>
    <row r="2" spans="3:9" ht="16.5" x14ac:dyDescent="0.2">
      <c r="C2" s="100" t="s">
        <v>263</v>
      </c>
      <c r="D2" s="85" t="s">
        <v>134</v>
      </c>
      <c r="E2" s="86">
        <v>100042</v>
      </c>
      <c r="F2" s="86" t="s">
        <v>252</v>
      </c>
      <c r="G2" s="9">
        <v>101624</v>
      </c>
      <c r="H2" s="86" t="s">
        <v>247</v>
      </c>
      <c r="I2" s="38" t="s">
        <v>248</v>
      </c>
    </row>
    <row r="3" spans="3:9" ht="16.5" x14ac:dyDescent="0.2">
      <c r="C3" s="100"/>
      <c r="D3" s="85" t="s">
        <v>140</v>
      </c>
      <c r="E3" s="86">
        <v>100382</v>
      </c>
      <c r="F3" s="86" t="s">
        <v>253</v>
      </c>
      <c r="G3" s="9">
        <v>101516</v>
      </c>
      <c r="H3" s="86" t="s">
        <v>258</v>
      </c>
      <c r="I3" s="38" t="s">
        <v>259</v>
      </c>
    </row>
    <row r="4" spans="3:9" ht="16.5" x14ac:dyDescent="0.2">
      <c r="C4" s="100"/>
      <c r="D4" s="85" t="s">
        <v>240</v>
      </c>
      <c r="E4" s="86">
        <v>100041</v>
      </c>
      <c r="F4" s="86" t="s">
        <v>254</v>
      </c>
      <c r="G4" s="9">
        <v>101939</v>
      </c>
      <c r="H4" s="86" t="s">
        <v>256</v>
      </c>
      <c r="I4" s="87" t="s">
        <v>257</v>
      </c>
    </row>
    <row r="5" spans="3:9" ht="16.5" x14ac:dyDescent="0.2">
      <c r="C5" s="100"/>
      <c r="D5" s="85" t="s">
        <v>241</v>
      </c>
      <c r="E5" s="86">
        <v>100018</v>
      </c>
      <c r="F5" s="86" t="s">
        <v>255</v>
      </c>
      <c r="G5" s="9">
        <v>101182</v>
      </c>
      <c r="H5" s="88" t="s">
        <v>261</v>
      </c>
      <c r="I5" s="87" t="s">
        <v>260</v>
      </c>
    </row>
    <row r="6" spans="3:9" ht="16.5" x14ac:dyDescent="0.2">
      <c r="C6" s="100" t="s">
        <v>244</v>
      </c>
      <c r="D6" s="86" t="s">
        <v>262</v>
      </c>
      <c r="E6" s="86">
        <v>100008</v>
      </c>
      <c r="F6" s="86" t="s">
        <v>264</v>
      </c>
      <c r="G6" s="86"/>
      <c r="H6" s="86"/>
      <c r="I6" s="86"/>
    </row>
    <row r="7" spans="3:9" ht="16.5" x14ac:dyDescent="0.2">
      <c r="C7" s="100"/>
      <c r="D7" s="86" t="s">
        <v>134</v>
      </c>
      <c r="E7" s="86">
        <v>100038</v>
      </c>
      <c r="F7" s="86" t="s">
        <v>251</v>
      </c>
      <c r="G7" s="86">
        <v>101482</v>
      </c>
      <c r="H7" s="86" t="s">
        <v>247</v>
      </c>
      <c r="I7" s="89" t="s">
        <v>265</v>
      </c>
    </row>
    <row r="8" spans="3:9" ht="16.5" x14ac:dyDescent="0.2">
      <c r="C8" s="100"/>
      <c r="D8" s="86" t="s">
        <v>143</v>
      </c>
      <c r="E8" s="86">
        <v>100094</v>
      </c>
      <c r="F8" s="86"/>
      <c r="G8" s="86"/>
      <c r="H8" s="86"/>
      <c r="I8" s="86"/>
    </row>
    <row r="9" spans="3:9" ht="16.5" x14ac:dyDescent="0.2">
      <c r="C9" s="100"/>
      <c r="D9" s="86" t="s">
        <v>147</v>
      </c>
      <c r="E9" s="86">
        <v>100057</v>
      </c>
      <c r="F9" s="86"/>
      <c r="G9" s="86"/>
      <c r="H9" s="86"/>
      <c r="I9" s="86"/>
    </row>
    <row r="10" spans="3:9" ht="16.5" x14ac:dyDescent="0.2">
      <c r="C10" s="100"/>
      <c r="D10" s="86" t="s">
        <v>242</v>
      </c>
      <c r="E10" s="86">
        <v>100128</v>
      </c>
      <c r="F10" s="86"/>
      <c r="G10" s="86"/>
      <c r="H10" s="86"/>
      <c r="I10" s="86"/>
    </row>
    <row r="20" spans="6:6" x14ac:dyDescent="0.2">
      <c r="F20" s="79"/>
    </row>
    <row r="21" spans="6:6" x14ac:dyDescent="0.2">
      <c r="F21" s="79"/>
    </row>
  </sheetData>
  <mergeCells count="2">
    <mergeCell ref="C2:C5"/>
    <mergeCell ref="C6:C10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069B0-1584-4DA2-93DC-1BFCBD45729A}">
  <dimension ref="A1:L27"/>
  <sheetViews>
    <sheetView workbookViewId="0">
      <selection activeCell="L12" sqref="L12"/>
    </sheetView>
  </sheetViews>
  <sheetFormatPr defaultRowHeight="12.75" x14ac:dyDescent="0.2"/>
  <cols>
    <col min="1" max="1" width="2.7109375" bestFit="1" customWidth="1"/>
    <col min="2" max="2" width="11" bestFit="1" customWidth="1"/>
    <col min="3" max="3" width="7.28515625" bestFit="1" customWidth="1"/>
    <col min="4" max="4" width="11" style="76" bestFit="1" customWidth="1"/>
    <col min="6" max="6" width="11.85546875" bestFit="1" customWidth="1"/>
    <col min="8" max="8" width="11" bestFit="1" customWidth="1"/>
    <col min="10" max="10" width="14.5703125" customWidth="1"/>
    <col min="12" max="12" width="11.85546875" bestFit="1" customWidth="1"/>
  </cols>
  <sheetData>
    <row r="1" spans="1:12" x14ac:dyDescent="0.2">
      <c r="A1">
        <v>1</v>
      </c>
      <c r="B1" s="78">
        <v>250845.88</v>
      </c>
      <c r="C1" s="75">
        <v>44152</v>
      </c>
      <c r="D1" s="76">
        <f>C1/$E$1*$F$1</f>
        <v>250845.87620873621</v>
      </c>
      <c r="E1" s="75">
        <f>SUM(C1:C12)</f>
        <v>533458</v>
      </c>
      <c r="F1">
        <v>3030796.78</v>
      </c>
      <c r="G1">
        <v>13</v>
      </c>
      <c r="H1" s="78">
        <v>63105.04</v>
      </c>
      <c r="I1" s="75">
        <v>6430</v>
      </c>
      <c r="J1" s="76">
        <f>I1/$K$1*$L$1-H1</f>
        <v>4.2335583857493475E-3</v>
      </c>
      <c r="K1" s="75">
        <f>SUM(I1:I27)</f>
        <v>679830</v>
      </c>
      <c r="L1">
        <v>6671959.9100000001</v>
      </c>
    </row>
    <row r="2" spans="1:12" x14ac:dyDescent="0.2">
      <c r="A2">
        <v>2</v>
      </c>
      <c r="B2" s="78">
        <v>254169.5</v>
      </c>
      <c r="C2" s="75">
        <v>44737</v>
      </c>
      <c r="D2" s="76">
        <f t="shared" ref="D2:D12" si="0">C2/$E$1*$F$1</f>
        <v>254169.5045286789</v>
      </c>
      <c r="G2">
        <v>14</v>
      </c>
      <c r="H2" s="78">
        <v>256738.41</v>
      </c>
      <c r="I2" s="75">
        <v>26160</v>
      </c>
      <c r="J2" s="76">
        <f t="shared" ref="J2:J27" si="1">I2/$K$1*$L$1-H2</f>
        <v>-2.9782445635646582E-3</v>
      </c>
    </row>
    <row r="3" spans="1:12" x14ac:dyDescent="0.2">
      <c r="A3">
        <v>3</v>
      </c>
      <c r="B3" s="78">
        <v>250249.33</v>
      </c>
      <c r="C3" s="75">
        <v>44047</v>
      </c>
      <c r="D3" s="76">
        <f t="shared" si="0"/>
        <v>250249.32753592596</v>
      </c>
      <c r="G3">
        <v>15</v>
      </c>
      <c r="H3" s="78">
        <v>255560.71</v>
      </c>
      <c r="I3" s="75">
        <v>26040</v>
      </c>
      <c r="J3" s="76">
        <f t="shared" si="1"/>
        <v>-2.0930232421960682E-3</v>
      </c>
    </row>
    <row r="4" spans="1:12" x14ac:dyDescent="0.2">
      <c r="A4">
        <v>4</v>
      </c>
      <c r="B4" s="78">
        <v>252294.64</v>
      </c>
      <c r="C4" s="75">
        <v>44407</v>
      </c>
      <c r="D4" s="76">
        <f t="shared" si="0"/>
        <v>252294.63727127534</v>
      </c>
      <c r="G4">
        <v>16</v>
      </c>
      <c r="H4" s="78">
        <v>254383.01</v>
      </c>
      <c r="I4" s="75">
        <v>25920</v>
      </c>
      <c r="J4" s="76">
        <f t="shared" si="1"/>
        <v>-1.2078019499313086E-3</v>
      </c>
    </row>
    <row r="5" spans="1:12" x14ac:dyDescent="0.2">
      <c r="A5">
        <v>5</v>
      </c>
      <c r="B5" s="78">
        <v>255578.5</v>
      </c>
      <c r="C5" s="75">
        <v>44985</v>
      </c>
      <c r="D5" s="76">
        <f t="shared" si="0"/>
        <v>255578.49567969737</v>
      </c>
      <c r="G5">
        <v>17</v>
      </c>
      <c r="H5" s="78">
        <v>256345.84</v>
      </c>
      <c r="I5" s="75">
        <v>26120</v>
      </c>
      <c r="J5" s="76">
        <f t="shared" si="1"/>
        <v>6.5016254666261375E-4</v>
      </c>
    </row>
    <row r="6" spans="1:12" x14ac:dyDescent="0.2">
      <c r="A6">
        <v>6</v>
      </c>
      <c r="B6" s="78">
        <v>254129.73</v>
      </c>
      <c r="C6" s="75">
        <v>44730</v>
      </c>
      <c r="D6" s="76">
        <f t="shared" si="0"/>
        <v>254129.73461715822</v>
      </c>
      <c r="G6">
        <v>18</v>
      </c>
      <c r="H6" s="78">
        <v>250849.91</v>
      </c>
      <c r="I6" s="75">
        <v>25560</v>
      </c>
      <c r="J6" s="76">
        <f t="shared" si="1"/>
        <v>1.4478619559668005E-3</v>
      </c>
    </row>
    <row r="7" spans="1:12" x14ac:dyDescent="0.2">
      <c r="A7">
        <v>7</v>
      </c>
      <c r="B7" s="78">
        <v>251999.2</v>
      </c>
      <c r="C7" s="75">
        <v>44355</v>
      </c>
      <c r="D7" s="76">
        <f t="shared" si="0"/>
        <v>251999.20364283599</v>
      </c>
      <c r="G7">
        <v>19</v>
      </c>
      <c r="H7" s="78">
        <v>251929.47</v>
      </c>
      <c r="I7" s="75">
        <v>25670</v>
      </c>
      <c r="J7" s="76">
        <f t="shared" si="1"/>
        <v>-1.0302575537934899E-3</v>
      </c>
    </row>
    <row r="8" spans="1:12" x14ac:dyDescent="0.2">
      <c r="A8">
        <v>8</v>
      </c>
      <c r="B8" s="78">
        <v>247397.26</v>
      </c>
      <c r="C8" s="75">
        <v>43545</v>
      </c>
      <c r="D8" s="76">
        <f t="shared" si="0"/>
        <v>247397.25673829988</v>
      </c>
      <c r="G8">
        <v>20</v>
      </c>
      <c r="H8" s="78">
        <v>255855.13</v>
      </c>
      <c r="I8" s="75">
        <v>26070</v>
      </c>
      <c r="J8" s="76">
        <f t="shared" si="1"/>
        <v>2.6856714102905244E-3</v>
      </c>
    </row>
    <row r="9" spans="1:12" x14ac:dyDescent="0.2">
      <c r="A9">
        <v>9</v>
      </c>
      <c r="B9" s="78">
        <v>252936.64</v>
      </c>
      <c r="C9" s="75">
        <v>44520</v>
      </c>
      <c r="D9" s="76">
        <f t="shared" si="0"/>
        <v>252936.63727153777</v>
      </c>
      <c r="G9">
        <v>21</v>
      </c>
      <c r="H9" s="78">
        <v>252910.88</v>
      </c>
      <c r="I9" s="75">
        <v>25770</v>
      </c>
      <c r="J9" s="76">
        <f t="shared" si="1"/>
        <v>4.8987246700562537E-3</v>
      </c>
    </row>
    <row r="10" spans="1:12" x14ac:dyDescent="0.2">
      <c r="A10">
        <v>10</v>
      </c>
      <c r="B10" s="78">
        <v>254129.73</v>
      </c>
      <c r="C10" s="75">
        <v>44730</v>
      </c>
      <c r="D10" s="76">
        <f t="shared" si="0"/>
        <v>254129.73461715822</v>
      </c>
      <c r="G10">
        <v>22</v>
      </c>
      <c r="H10" s="78">
        <v>255364.42</v>
      </c>
      <c r="I10" s="75">
        <v>26020</v>
      </c>
      <c r="J10" s="76">
        <f t="shared" si="1"/>
        <v>4.7211803030222654E-3</v>
      </c>
    </row>
    <row r="11" spans="1:12" x14ac:dyDescent="0.2">
      <c r="A11">
        <v>11</v>
      </c>
      <c r="B11" s="78">
        <v>254214.96</v>
      </c>
      <c r="C11" s="75">
        <v>44745</v>
      </c>
      <c r="D11" s="76">
        <f t="shared" si="0"/>
        <v>254214.9558561311</v>
      </c>
      <c r="G11">
        <v>23</v>
      </c>
      <c r="H11" s="78">
        <v>255168.14</v>
      </c>
      <c r="I11" s="75">
        <v>26000</v>
      </c>
      <c r="J11" s="76">
        <f t="shared" si="1"/>
        <v>1.5353838389273733E-3</v>
      </c>
    </row>
    <row r="12" spans="1:12" x14ac:dyDescent="0.2">
      <c r="A12">
        <v>12</v>
      </c>
      <c r="B12" s="78">
        <v>252851.42</v>
      </c>
      <c r="C12" s="75">
        <v>44505</v>
      </c>
      <c r="D12" s="76">
        <f t="shared" si="0"/>
        <v>252851.41603256486</v>
      </c>
      <c r="G12">
        <v>24</v>
      </c>
      <c r="H12" s="78">
        <v>252616.46</v>
      </c>
      <c r="I12" s="75">
        <v>25740</v>
      </c>
      <c r="J12" s="76">
        <f t="shared" si="1"/>
        <v>1.2003001756966114E-4</v>
      </c>
    </row>
    <row r="13" spans="1:12" x14ac:dyDescent="0.2">
      <c r="G13">
        <v>25</v>
      </c>
      <c r="H13" s="78">
        <v>253499.73</v>
      </c>
      <c r="I13" s="75">
        <v>25830</v>
      </c>
      <c r="J13" s="76">
        <f t="shared" si="1"/>
        <v>4.4561139948200434E-3</v>
      </c>
    </row>
    <row r="14" spans="1:12" x14ac:dyDescent="0.2">
      <c r="G14">
        <v>26</v>
      </c>
      <c r="H14" s="78">
        <v>255855.13</v>
      </c>
      <c r="I14" s="75">
        <v>26070</v>
      </c>
      <c r="J14" s="76">
        <f t="shared" si="1"/>
        <v>2.6856714102905244E-3</v>
      </c>
    </row>
    <row r="15" spans="1:12" x14ac:dyDescent="0.2">
      <c r="G15">
        <v>27</v>
      </c>
      <c r="H15" s="78">
        <v>252420.18</v>
      </c>
      <c r="I15" s="75">
        <v>25720</v>
      </c>
      <c r="J15" s="76">
        <f t="shared" si="1"/>
        <v>-3.065766446525231E-3</v>
      </c>
    </row>
    <row r="16" spans="1:12" x14ac:dyDescent="0.2">
      <c r="G16">
        <v>28</v>
      </c>
      <c r="H16" s="78">
        <v>255266.28</v>
      </c>
      <c r="I16" s="75">
        <v>26010</v>
      </c>
      <c r="J16" s="76">
        <f t="shared" si="1"/>
        <v>3.1282820855267346E-3</v>
      </c>
    </row>
    <row r="17" spans="7:10" x14ac:dyDescent="0.2">
      <c r="G17">
        <v>29</v>
      </c>
      <c r="H17" s="78">
        <v>254579.29</v>
      </c>
      <c r="I17" s="75">
        <v>25940</v>
      </c>
      <c r="J17" s="76">
        <f t="shared" si="1"/>
        <v>1.9779945141635835E-3</v>
      </c>
    </row>
    <row r="18" spans="7:10" x14ac:dyDescent="0.2">
      <c r="G18">
        <v>30</v>
      </c>
      <c r="H18" s="78">
        <v>254873.72</v>
      </c>
      <c r="I18" s="75">
        <v>25970</v>
      </c>
      <c r="J18" s="76">
        <f t="shared" si="1"/>
        <v>-3.2433108135592192E-3</v>
      </c>
    </row>
    <row r="19" spans="7:10" x14ac:dyDescent="0.2">
      <c r="G19">
        <v>31</v>
      </c>
      <c r="H19" s="78">
        <v>253303.45</v>
      </c>
      <c r="I19" s="75">
        <v>25810</v>
      </c>
      <c r="J19" s="76">
        <f t="shared" si="1"/>
        <v>1.2703175598289818E-3</v>
      </c>
    </row>
    <row r="20" spans="7:10" x14ac:dyDescent="0.2">
      <c r="G20">
        <v>32</v>
      </c>
      <c r="H20" s="78">
        <v>255168.14</v>
      </c>
      <c r="I20" s="75">
        <v>26000</v>
      </c>
      <c r="J20" s="76">
        <f t="shared" si="1"/>
        <v>1.5353838389273733E-3</v>
      </c>
    </row>
    <row r="21" spans="7:10" x14ac:dyDescent="0.2">
      <c r="G21">
        <v>33</v>
      </c>
      <c r="H21" s="78">
        <v>256149.56</v>
      </c>
      <c r="I21" s="75">
        <v>26100</v>
      </c>
      <c r="J21" s="76">
        <f t="shared" si="1"/>
        <v>-2.5356338883284479E-3</v>
      </c>
    </row>
    <row r="22" spans="7:10" x14ac:dyDescent="0.2">
      <c r="G22">
        <v>34</v>
      </c>
      <c r="H22" s="78">
        <v>254284.87</v>
      </c>
      <c r="I22" s="75">
        <v>25910</v>
      </c>
      <c r="J22" s="76">
        <f t="shared" si="1"/>
        <v>-2.8007001965306699E-3</v>
      </c>
    </row>
    <row r="23" spans="7:10" x14ac:dyDescent="0.2">
      <c r="G23">
        <v>35</v>
      </c>
      <c r="H23" s="78">
        <v>253990.44</v>
      </c>
      <c r="I23" s="75">
        <v>25880</v>
      </c>
      <c r="J23" s="76">
        <f t="shared" si="1"/>
        <v>2.4206051311921328E-3</v>
      </c>
    </row>
    <row r="24" spans="7:10" x14ac:dyDescent="0.2">
      <c r="G24">
        <v>36</v>
      </c>
      <c r="H24" s="78">
        <v>251144.34</v>
      </c>
      <c r="I24" s="75">
        <v>25590</v>
      </c>
      <c r="J24" s="76">
        <f t="shared" si="1"/>
        <v>-3.7734433426521719E-3</v>
      </c>
    </row>
    <row r="25" spans="7:10" x14ac:dyDescent="0.2">
      <c r="G25">
        <v>37</v>
      </c>
      <c r="H25" s="78">
        <v>254284.87</v>
      </c>
      <c r="I25" s="75">
        <v>25910</v>
      </c>
      <c r="J25" s="76">
        <f t="shared" si="1"/>
        <v>-2.8007001965306699E-3</v>
      </c>
    </row>
    <row r="26" spans="7:10" x14ac:dyDescent="0.2">
      <c r="G26">
        <v>38</v>
      </c>
      <c r="H26" s="78">
        <v>253794.16</v>
      </c>
      <c r="I26" s="75">
        <v>25860</v>
      </c>
      <c r="J26" s="76">
        <f t="shared" si="1"/>
        <v>-7.651912746950984E-4</v>
      </c>
    </row>
    <row r="27" spans="7:10" x14ac:dyDescent="0.2">
      <c r="G27">
        <v>39</v>
      </c>
      <c r="H27" s="78">
        <v>252518.32</v>
      </c>
      <c r="I27" s="75">
        <v>25730</v>
      </c>
      <c r="J27" s="76">
        <f t="shared" si="1"/>
        <v>-1.4728682290297002E-3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表1（IT界面）</vt:lpstr>
      <vt:lpstr>表2（QC界面）</vt:lpstr>
      <vt:lpstr>表3（采购界面）</vt:lpstr>
      <vt:lpstr>表4（运营界面）</vt:lpstr>
      <vt:lpstr>Sheet4</vt:lpstr>
      <vt:lpstr>Sheet3</vt:lpstr>
      <vt:lpstr>Sheet1</vt:lpstr>
      <vt:lpstr>Sheet2</vt:lpstr>
      <vt:lpstr>Sheet6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王跃勇</cp:lastModifiedBy>
  <cp:revision>1</cp:revision>
  <dcterms:created xsi:type="dcterms:W3CDTF">2021-07-29T14:29:14Z</dcterms:created>
  <dcterms:modified xsi:type="dcterms:W3CDTF">2025-01-06T02:47:41Z</dcterms:modified>
  <cp:category/>
</cp:coreProperties>
</file>